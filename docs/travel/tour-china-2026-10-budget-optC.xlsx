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amSo" sheetId="1" state="visible" r:id="rId1"/>
    <sheet name="TongHop" sheetId="2" state="visible" r:id="rId2"/>
    <sheet name="LichTrinh" sheetId="3" state="visible" r:id="rId3"/>
    <sheet name="Deadline" sheetId="4" state="visible" r:id="rId4"/>
    <sheet name="ChiPhi_HN" sheetId="5" state="visible" r:id="rId5"/>
    <sheet name="ChiPhi_SGN" sheetId="6" state="visible" r:id="rId6"/>
    <sheet name="ChiPhi_QC" sheetId="7" state="visible" r:id="rId7"/>
    <sheet name="Ngu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"/>
    <numFmt numFmtId="166" formatCode="0.##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5EE"/>
      </patternFill>
    </fill>
    <fill>
      <patternFill patternType="solid">
        <fgColor rgb="00EEF3F7"/>
      </patternFill>
    </fill>
  </fills>
  <borders count="6">
    <border>
      <left/>
      <right/>
      <top/>
      <bottom/>
      <diagonal/>
    </border>
    <border>
      <left style="thin">
        <color rgb="00C8D0D8"/>
      </left>
      <right style="thin">
        <color rgb="00C8D0D8"/>
      </right>
      <top style="thin">
        <color rgb="00C8D0D8"/>
      </top>
      <bottom style="thin">
        <color rgb="00C8D0D8"/>
      </bottom>
    </border>
    <border>
      <left/>
      <right/>
      <top style="thin">
        <color rgb="00C8D0D8"/>
      </top>
      <bottom/>
      <diagonal/>
    </border>
    <border>
      <left/>
      <right style="thin">
        <color rgb="00C8D0D8"/>
      </right>
      <top style="thin">
        <color rgb="00C8D0D8"/>
      </top>
      <bottom/>
      <diagonal/>
    </border>
    <border>
      <left/>
      <right/>
      <top style="thin">
        <color rgb="00C8D0D8"/>
      </top>
      <bottom style="thin">
        <color rgb="00C8D0D8"/>
      </bottom>
      <diagonal/>
    </border>
    <border>
      <left/>
      <right style="thin">
        <color rgb="00C8D0D8"/>
      </right>
      <top style="thin">
        <color rgb="00C8D0D8"/>
      </top>
      <bottom style="thin">
        <color rgb="00C8D0D8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4" fillId="2" borderId="1" pivotButton="0" quotePrefix="0" xfId="0"/>
    <xf numFmtId="0" fontId="5" fillId="0" borderId="1" applyAlignment="1" pivotButton="0" quotePrefix="0" xfId="0">
      <alignment vertical="top" wrapText="1"/>
    </xf>
    <xf numFmtId="3" fontId="4" fillId="2" borderId="1" pivotButton="0" quotePrefix="0" xfId="0"/>
    <xf numFmtId="9" fontId="4" fillId="2" borderId="1" pivotButton="0" quotePrefix="0" xfId="0"/>
    <xf numFmtId="0" fontId="3" fillId="3" borderId="1" applyAlignment="1" pivotButton="0" quotePrefix="0" xfId="0">
      <alignment vertical="center" wrapText="1"/>
    </xf>
    <xf numFmtId="1" fontId="4" fillId="2" borderId="1" pivotButton="0" quotePrefix="0" xfId="0"/>
    <xf numFmtId="1" fontId="5" fillId="0" borderId="1" pivotButton="0" quotePrefix="0" xfId="0"/>
    <xf numFmtId="165" fontId="4" fillId="2" borderId="1" pivotButton="0" quotePrefix="0" xfId="0"/>
    <xf numFmtId="164" fontId="5" fillId="0" borderId="1" pivotButton="0" quotePrefix="0" xfId="0"/>
    <xf numFmtId="0" fontId="4" fillId="2" borderId="1" pivotButton="0" quotePrefix="0" xfId="0"/>
    <xf numFmtId="0" fontId="5" fillId="0" borderId="1" pivotButton="0" quotePrefix="0" xfId="0"/>
    <xf numFmtId="165" fontId="4" fillId="0" borderId="1" pivotButton="0" quotePrefix="0" xfId="0"/>
    <xf numFmtId="165" fontId="5" fillId="0" borderId="1" pivotButton="0" quotePrefix="0" xfId="0"/>
    <xf numFmtId="1" fontId="6" fillId="0" borderId="1" pivotButton="0" quotePrefix="0" xfId="0"/>
    <xf numFmtId="3" fontId="6" fillId="0" borderId="1" pivotButton="0" quotePrefix="0" xfId="0"/>
    <xf numFmtId="1" fontId="3" fillId="4" borderId="1" pivotButton="0" quotePrefix="0" xfId="0"/>
    <xf numFmtId="3" fontId="3" fillId="2" borderId="1" pivotButton="0" quotePrefix="0" xfId="0"/>
    <xf numFmtId="164" fontId="6" fillId="0" borderId="1" pivotButton="0" quotePrefix="0" xfId="0"/>
    <xf numFmtId="0" fontId="6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6" fillId="0" borderId="1" pivotButton="0" quotePrefix="0" xfId="0"/>
    <xf numFmtId="165" fontId="3" fillId="0" borderId="1" pivotButton="0" quotePrefix="0" xfId="0"/>
    <xf numFmtId="164" fontId="5" fillId="2" borderId="1" pivotButton="0" quotePrefix="0" xfId="0"/>
    <xf numFmtId="166" fontId="6" fillId="0" borderId="1" pivotButton="0" quotePrefix="0" xfId="0"/>
    <xf numFmtId="3" fontId="5" fillId="0" borderId="1" pivotButton="0" quotePrefix="0" xfId="0"/>
    <xf numFmtId="166" fontId="5" fillId="0" borderId="1" pivotButton="0" quotePrefix="0" xfId="0"/>
    <xf numFmtId="3" fontId="3" fillId="4" borderId="1" pivotButton="0" quotePrefix="0" xfId="0"/>
    <xf numFmtId="164" fontId="4" fillId="2" borderId="1" pivotButton="0" quotePrefix="0" xfId="0"/>
    <xf numFmtId="165" fontId="4" fillId="2" borderId="1" pivotButton="0" quotePrefix="0" xfId="0"/>
    <xf numFmtId="164" fontId="5" fillId="0" borderId="1" pivotButton="0" quotePrefix="0" xfId="0"/>
    <xf numFmtId="165" fontId="4" fillId="0" borderId="1" pivotButton="0" quotePrefix="0" xfId="0"/>
    <xf numFmtId="165" fontId="5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5" fontId="3" fillId="0" borderId="1" pivotButton="0" quotePrefix="0" xfId="0"/>
    <xf numFmtId="164" fontId="5" fillId="2" borderId="1" pivotButton="0" quotePrefix="0" xfId="0"/>
    <xf numFmtId="166" fontId="6" fillId="0" borderId="1" pivotButton="0" quotePrefix="0" xfId="0"/>
    <xf numFmtId="166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2" customWidth="1" min="3" max="3"/>
    <col width="44" customWidth="1" min="4" max="4"/>
    <col width="60" customWidth="1" min="5" max="5"/>
  </cols>
  <sheetData>
    <row r="1">
      <c r="A1" s="1" t="inlineStr">
        <is>
          <t>THAM SỐ – sửa ô chữ XANH (nền vàng = quan trọng). Mọi sheet khác tự tính lại.</t>
        </is>
      </c>
    </row>
    <row r="2">
      <c r="A2" s="2" t="inlineStr">
        <is>
          <t>Giá vé bay/khách sạn là GIÁ THẬT tra Trip.com/Google Flights ngày 22/09/2026 qua trình duyệt (vượt tường bot). Sửa ô chữ XANH rồi mở lại bằng Excel/Google Sheets để tự tính. Tiền tệ: CNY, USD hoặc VND.</t>
        </is>
      </c>
    </row>
    <row r="3">
      <c r="A3" s="3" t="inlineStr">
        <is>
          <t>Ngày bắt đầu tour (ngày bay)</t>
        </is>
      </c>
      <c r="B3" s="32" t="n">
        <v>46320</v>
      </c>
      <c r="D3" s="5" t="inlineStr">
        <is>
          <t>Đổi ngày này → toàn bộ lịch trình và deadline dời theo</t>
        </is>
      </c>
    </row>
    <row r="4">
      <c r="A4" s="3" t="inlineStr">
        <is>
          <t>Tỷ giá CNY → VND</t>
        </is>
      </c>
      <c r="B4" s="6" t="n">
        <v>3950</v>
      </c>
      <c r="D4" s="5" t="inlineStr">
        <is>
          <t>VCB bán ra 19/09/2026: 3.947</t>
        </is>
      </c>
    </row>
    <row r="5">
      <c r="A5" s="3" t="inlineStr">
        <is>
          <t>Tỷ giá USD → VND</t>
        </is>
      </c>
      <c r="B5" s="6" t="n">
        <v>26210</v>
      </c>
      <c r="D5" s="5" t="inlineStr">
        <is>
          <t>VCB bán ra 20/09/2026: 26.210</t>
        </is>
      </c>
    </row>
    <row r="6">
      <c r="A6" s="3" t="inlineStr">
        <is>
          <t>Dự phòng (%)</t>
        </is>
      </c>
      <c r="B6" s="7" t="n">
        <v>0.1</v>
      </c>
      <c r="D6" s="5" t="inlineStr">
        <is>
          <t>Cộng thêm trên tổng chi phí mỗi nhóm</t>
        </is>
      </c>
    </row>
    <row r="8">
      <c r="A8" s="8" t="inlineStr">
        <is>
          <t>Nhóm</t>
        </is>
      </c>
      <c r="B8" s="8" t="inlineStr">
        <is>
          <t>Số người</t>
        </is>
      </c>
      <c r="C8" s="8" t="inlineStr">
        <is>
          <t>Số phòng</t>
        </is>
      </c>
      <c r="D8" s="8" t="inlineStr">
        <is>
          <t>Cần visa TQ (1 = có, 0 = không)</t>
        </is>
      </c>
      <c r="E8" s="8" t="inlineStr">
        <is>
          <t>Ghi chú</t>
        </is>
      </c>
    </row>
    <row r="9">
      <c r="A9" s="3" t="inlineStr">
        <is>
          <t>Hà Nội</t>
        </is>
      </c>
      <c r="B9" s="9" t="n">
        <v>2</v>
      </c>
      <c r="C9" s="9" t="n">
        <v>1</v>
      </c>
      <c r="D9" s="9" t="n">
        <v>1</v>
      </c>
      <c r="E9" s="5" t="inlineStr">
        <is>
          <t>Bay ZH104 HAN → SZX; về VJ7713 PKX → HAN</t>
        </is>
      </c>
    </row>
    <row r="10">
      <c r="A10" s="3" t="inlineStr">
        <is>
          <t>Sài Gòn</t>
        </is>
      </c>
      <c r="B10" s="9" t="n">
        <v>4</v>
      </c>
      <c r="C10" s="9" t="n">
        <v>2</v>
      </c>
      <c r="D10" s="9" t="n">
        <v>1</v>
      </c>
      <c r="E10" s="5" t="inlineStr">
        <is>
          <t>Bay CZ8466 SGN → SZX; về VJ3949 PKX → SGN</t>
        </is>
      </c>
    </row>
    <row r="11">
      <c r="A11" s="3" t="inlineStr">
        <is>
          <t>Quảng Châu</t>
        </is>
      </c>
      <c r="B11" s="9" t="n">
        <v>2</v>
      </c>
      <c r="C11" s="9" t="n">
        <v>1</v>
      </c>
      <c r="D11" s="9" t="n">
        <v>1</v>
      </c>
      <c r="E11" s="5" t="inlineStr">
        <is>
          <t>Tàu Guangzhou South → Futian; về cùng nhóm Sài Gòn VJ3949. Đặt 1 nếu cần visa</t>
        </is>
      </c>
    </row>
    <row r="12">
      <c r="A12" s="3" t="inlineStr">
        <is>
          <t>Tổng số người</t>
        </is>
      </c>
      <c r="B12" s="10">
        <f>SUM(B9:B11)</f>
        <v>8</v>
      </c>
    </row>
    <row r="14">
      <c r="A14" s="8" t="inlineStr">
        <is>
          <t>Khách sạn (phòng twin)</t>
        </is>
      </c>
      <c r="B14" s="8" t="inlineStr">
        <is>
          <t>Số đêm</t>
        </is>
      </c>
      <c r="C14" s="8" t="inlineStr">
        <is>
          <t>Giá / phòng / đêm (CNY)</t>
        </is>
      </c>
      <c r="D14" s="8" t="inlineStr">
        <is>
          <t>Khu</t>
        </is>
      </c>
      <c r="E14" s="8" t="inlineStr">
        <is>
          <t>Tham khảo 21/09</t>
        </is>
      </c>
    </row>
    <row r="15">
      <c r="A15" s="3" t="inlineStr">
        <is>
          <t>Thâm Quyến</t>
        </is>
      </c>
      <c r="B15" s="9" t="n">
        <v>3</v>
      </c>
      <c r="C15" s="33" t="n">
        <v>350</v>
      </c>
      <c r="D15" s="5" t="inlineStr">
        <is>
          <t>Futian, cạnh Huaqiangbei / Coco Park</t>
        </is>
      </c>
      <c r="E15" s="5" t="inlineStr">
        <is>
          <t>Trip.com 22/09 (Futian, 3-4*): 7Days/RANZ ~280 CNY, Ji/Atour ~570-630; chọn ~350 dễ đạt</t>
        </is>
      </c>
    </row>
    <row r="16">
      <c r="A16" s="3" t="inlineStr">
        <is>
          <t>Hàng Châu</t>
        </is>
      </c>
      <c r="B16" s="9" t="n">
        <v>3</v>
      </c>
      <c r="C16" s="33" t="n">
        <v>380</v>
      </c>
      <c r="D16" s="5" t="inlineStr">
        <is>
          <t>Hubin, bờ đông Tây Hồ</t>
        </is>
      </c>
      <c r="E16" s="5" t="inlineStr">
        <is>
          <t>Trip.com 22/09 (Hubin/Tây Hồ): Zprime 165, Haoyi 236, Mercure 289 CNY → 380 là dư</t>
        </is>
      </c>
    </row>
    <row r="17">
      <c r="A17" s="3" t="inlineStr">
        <is>
          <t>Bắc Kinh</t>
        </is>
      </c>
      <c r="B17" s="9" t="n">
        <v>4</v>
      </c>
      <c r="C17" s="33" t="n">
        <v>400</v>
      </c>
      <c r="D17" s="5" t="inlineStr">
        <is>
          <t>Vương Phủ Tỉnh / Đông Đan</t>
        </is>
      </c>
      <c r="E17" s="5" t="inlineStr">
        <is>
          <t>Trip.com 22/09 (Vương Phủ Tỉnh): Zhong an ~298, UrCove Hyatt 574 CNY → 400 đạt, ở ngay VPT vẫn &lt;=1,5tr</t>
        </is>
      </c>
    </row>
    <row r="18">
      <c r="A18" s="3" t="inlineStr">
        <is>
          <t>Tổng số đêm</t>
        </is>
      </c>
      <c r="B18" s="10">
        <f>SUM(B15:B17)</f>
        <v>10</v>
      </c>
    </row>
    <row r="19">
      <c r="A19" s="3" t="inlineStr">
        <is>
          <t>Số ngày tour (đêm + 1)</t>
        </is>
      </c>
      <c r="B19" s="10">
        <f>B18+1</f>
        <v>11</v>
      </c>
    </row>
    <row r="20">
      <c r="A20" s="3" t="inlineStr">
        <is>
          <t>Ngày kết thúc (ngày bay đêm)</t>
        </is>
      </c>
      <c r="B20" s="34">
        <f>B3+B18</f>
        <v>46330</v>
      </c>
    </row>
    <row r="22">
      <c r="A22" s="8" t="inlineStr">
        <is>
          <t>Vé máy bay / tàu (1 người, 1 chiều)</t>
        </is>
      </c>
      <c r="B22" s="8" t="inlineStr">
        <is>
          <t>Đơn giá</t>
        </is>
      </c>
      <c r="C22" s="8" t="inlineStr">
        <is>
          <t>Tiền tệ</t>
        </is>
      </c>
      <c r="D22" s="8" t="inlineStr">
        <is>
          <t>Chuyến</t>
        </is>
      </c>
      <c r="E22" s="8" t="inlineStr">
        <is>
          <t>Nguồn tham khảo 21/09</t>
        </is>
      </c>
    </row>
    <row r="23">
      <c r="A23" s="3" t="inlineStr">
        <is>
          <t>HN đi</t>
        </is>
      </c>
      <c r="B23" s="33" t="n">
        <v>150</v>
      </c>
      <c r="C23" s="13" t="inlineStr">
        <is>
          <t>USD</t>
        </is>
      </c>
      <c r="D23" s="5" t="inlineStr">
        <is>
          <t>Shenzhen Airlines HAN 02:10 → SZX 05:00 (bay đêm, hội quân 26/10)</t>
        </is>
      </c>
      <c r="E23" s="5" t="inlineStr">
        <is>
          <t>Trip.com 22/09: rẻ nhất bay thẳng $150; ban ngày China Southern 16:10→19:00 $195</t>
        </is>
      </c>
    </row>
    <row r="24">
      <c r="A24" s="3" t="inlineStr">
        <is>
          <t>SGN đi</t>
        </is>
      </c>
      <c r="B24" s="6" t="n">
        <v>73</v>
      </c>
      <c r="C24" s="13" t="inlineStr">
        <is>
          <t>USD</t>
        </is>
      </c>
      <c r="D24" s="5" t="inlineStr">
        <is>
          <t>Vietravel VU SGN 00:10 → SZX 04:00 (bay đêm rạng sáng 26/10)</t>
        </is>
      </c>
      <c r="E24" s="5" t="inlineStr">
        <is>
          <t>Trip.com 22/09: Vietravel $73 (rẻ nhất, hãng mới); CZ8466 ban ngày 14:30→18:15 $209</t>
        </is>
      </c>
    </row>
    <row r="25">
      <c r="A25" s="3" t="inlineStr">
        <is>
          <t>QC đi (tàu)</t>
        </is>
      </c>
      <c r="B25" s="33" t="n">
        <v>74.5</v>
      </c>
      <c r="C25" s="13" t="inlineStr">
        <is>
          <t>CNY</t>
        </is>
      </c>
      <c r="D25" s="5" t="inlineStr">
        <is>
          <t>Tàu G Guangzhou South → Futian, 29 phút, hạng 2</t>
        </is>
      </c>
      <c r="E25" s="5" t="inlineStr">
        <is>
          <t>Trip.com trains: 74,5 CNY hạng 2</t>
        </is>
      </c>
    </row>
    <row r="26">
      <c r="A26" s="3" t="inlineStr">
        <is>
          <t>HN về</t>
        </is>
      </c>
      <c r="B26" s="33" t="n">
        <v>3196000</v>
      </c>
      <c r="C26" s="13" t="inlineStr">
        <is>
          <t>VND</t>
        </is>
      </c>
      <c r="D26" s="5" t="inlineStr">
        <is>
          <t>Air China PEK 00:10 → HAN 03:15 (bay thẳng ĐÊM, từ Bắc Kinh Thủ Đô PEK)</t>
        </is>
      </c>
      <c r="E26" s="5" t="inlineStr">
        <is>
          <t>Ảnh Sếp 23/09: 3.105.000đ; rẻ hơn Xiamen + bay đêm, giữ ngày cuối</t>
        </is>
      </c>
    </row>
    <row r="27">
      <c r="A27" s="3" t="inlineStr">
        <is>
          <t>SGN + QC về</t>
        </is>
      </c>
      <c r="B27" s="33" t="n">
        <v>4164000</v>
      </c>
      <c r="C27" s="13" t="inlineStr">
        <is>
          <t>VND</t>
        </is>
      </c>
      <c r="D27" s="5" t="inlineStr">
        <is>
          <t>VJ3949 PKX 01:05 → SGN 05:00 (Vietjet, SGN + Quảng Châu về chung)</t>
        </is>
      </c>
      <c r="E27" s="5" t="inlineStr">
        <is>
          <t>Ảnh Sếp 23/09: VJ3949 4.126.000đ (từ PKX Đại Hưng)</t>
        </is>
      </c>
    </row>
    <row r="28">
      <c r="A28" s="3" t="inlineStr">
        <is>
          <t>Hành lý ký gửi Vietjet 20 kg (nếu vé chưa kèm)</t>
        </is>
      </c>
      <c r="B28" s="6" t="n">
        <v>450000</v>
      </c>
      <c r="C28" s="13" t="inlineStr">
        <is>
          <t>VND</t>
        </is>
      </c>
      <c r="D28" s="5" t="inlineStr">
        <is>
          <t>Đặt 0 nếu vé đã tặng 20 kg (Vietjet 2026 tặng 20 kg tuyến quốc tế thẳng)</t>
        </is>
      </c>
      <c r="E28" s="5" t="inlineStr">
        <is>
          <t>Vietjet ~20–25k VND/kg mua online</t>
        </is>
      </c>
    </row>
    <row r="29">
      <c r="A29" s="3" t="inlineStr">
        <is>
          <t>Bay SZX → HGH</t>
        </is>
      </c>
      <c r="B29" s="33" t="n">
        <v>597</v>
      </c>
      <c r="C29" s="13" t="inlineStr">
        <is>
          <t>CNY</t>
        </is>
      </c>
      <c r="D29" s="5" t="inlineStr">
        <is>
          <t>CZ8711 08:00 → 09:55 hoặc ZH 09:00 → 10:50, eco kèm 20 kg</t>
        </is>
      </c>
      <c r="E29" s="5" t="inlineStr">
        <is>
          <t>Trip.com 22/09: bay thẳng $90 (~597 CNY), China Southern 07:00→09:00 kèm 20kg</t>
        </is>
      </c>
    </row>
    <row r="30">
      <c r="A30" s="3" t="inlineStr">
        <is>
          <t>Bay Hàng Châu → Bắc Kinh (~2h15)</t>
        </is>
      </c>
      <c r="B30" s="33" t="n">
        <v>520</v>
      </c>
      <c r="C30" s="13" t="inlineStr">
        <is>
          <t>CNY</t>
        </is>
      </c>
      <c r="D30" s="5" t="inlineStr">
        <is>
          <t>Bay HGH → Bắc Kinh (China Eastern ~2h15), THAY tàu; + transfer sân bay ~1h</t>
        </is>
      </c>
      <c r="E30" s="5" t="inlineStr">
        <is>
          <t>Trip.com 23/09: bay thẳng 480–560 CNY, rẻ &amp; nhanh hơn tàu 650</t>
        </is>
      </c>
    </row>
    <row r="32">
      <c r="A32" s="8" t="inlineStr">
        <is>
          <t>Vé tham quan (CNY / người)</t>
        </is>
      </c>
      <c r="B32" s="8" t="inlineStr">
        <is>
          <t>Giá</t>
        </is>
      </c>
      <c r="C32" s="8" t="inlineStr">
        <is>
          <t>Tính vào chi phí (1/0)</t>
        </is>
      </c>
      <c r="D32" s="8" t="inlineStr">
        <is>
          <t>Ngày dùng</t>
        </is>
      </c>
      <c r="E32" s="8" t="inlineStr">
        <is>
          <t>Nguồn 2026</t>
        </is>
      </c>
    </row>
    <row r="33">
      <c r="A33" s="14" t="inlineStr">
        <is>
          <t>Ping An Free Sky (vé online)</t>
        </is>
      </c>
      <c r="B33" s="35" t="n">
        <v>180</v>
      </c>
      <c r="C33" s="9" t="n">
        <v>1</v>
      </c>
      <c r="D33" s="14" t="inlineStr">
        <is>
          <t>Ngày 2</t>
        </is>
      </c>
      <c r="E33" s="5" t="inlineStr">
        <is>
          <t>eastchinatrip: online 180, quầy 200</t>
        </is>
      </c>
    </row>
    <row r="34">
      <c r="A34" s="14" t="inlineStr">
        <is>
          <t>Thuyền Tây Hồ + đảo Tiểu Doanh</t>
        </is>
      </c>
      <c r="B34" s="35" t="n">
        <v>55</v>
      </c>
      <c r="C34" s="9" t="n">
        <v>1</v>
      </c>
      <c r="D34" s="14" t="inlineStr">
        <is>
          <t>Ngày 4</t>
        </is>
      </c>
      <c r="E34" s="5" t="inlineStr">
        <is>
          <t>chinadiscovery: 55 thuyền thường / 70 thuyền hoa</t>
        </is>
      </c>
    </row>
    <row r="35">
      <c r="A35" s="14" t="inlineStr">
        <is>
          <t>Tháp Lôi Phong</t>
        </is>
      </c>
      <c r="B35" s="35" t="n">
        <v>40</v>
      </c>
      <c r="C35" s="9" t="n">
        <v>1</v>
      </c>
      <c r="D35" s="14" t="inlineStr">
        <is>
          <t>Ngày 4</t>
        </is>
      </c>
      <c r="E35" s="5" t="inlineStr">
        <is>
          <t>travelchinawith.me</t>
        </is>
      </c>
    </row>
    <row r="36">
      <c r="A36" s="14" t="inlineStr">
        <is>
          <t>Impression West Lake (vé thường)</t>
        </is>
      </c>
      <c r="B36" s="35" t="n">
        <v>360</v>
      </c>
      <c r="C36" s="9" t="n">
        <v>1</v>
      </c>
      <c r="D36" s="14" t="inlineStr">
        <is>
          <t>Ngày 4</t>
        </is>
      </c>
      <c r="E36" s="5" t="inlineStr">
        <is>
          <t>chinadiscovery: 360 / 430 VIP / 960 premium</t>
        </is>
      </c>
    </row>
    <row r="37">
      <c r="A37" s="14" t="inlineStr">
        <is>
          <t>Linh Ẩn + Phi Lai Phong (combo)</t>
        </is>
      </c>
      <c r="B37" s="35" t="n">
        <v>75</v>
      </c>
      <c r="C37" s="9" t="n">
        <v>1</v>
      </c>
      <c r="D37" s="14" t="inlineStr">
        <is>
          <t>Ngày 5</t>
        </is>
      </c>
      <c r="E37" s="5" t="inlineStr">
        <is>
          <t>GetYourGuide / Trip.com: 45 + 30</t>
        </is>
      </c>
    </row>
    <row r="38">
      <c r="A38" s="14" t="inlineStr">
        <is>
          <t>Mutianyu vé cửa</t>
        </is>
      </c>
      <c r="B38" s="35" t="n">
        <v>45</v>
      </c>
      <c r="C38" s="9" t="n">
        <v>1</v>
      </c>
      <c r="D38" s="14" t="inlineStr">
        <is>
          <t>Ngày 7</t>
        </is>
      </c>
      <c r="E38" s="5" t="inlineStr">
        <is>
          <t>greatwalltravelguide 2026</t>
        </is>
      </c>
    </row>
    <row r="39">
      <c r="A39" s="14" t="inlineStr">
        <is>
          <t>Mutianyu shuttle bus</t>
        </is>
      </c>
      <c r="B39" s="35" t="n">
        <v>15</v>
      </c>
      <c r="C39" s="9" t="n">
        <v>1</v>
      </c>
      <c r="D39" s="14" t="inlineStr">
        <is>
          <t>Ngày 7</t>
        </is>
      </c>
      <c r="E39" s="5" t="inlineStr">
        <is>
          <t>discoverchinatours: 15 khứ hồi</t>
        </is>
      </c>
    </row>
    <row r="40">
      <c r="A40" s="14" t="inlineStr">
        <is>
          <t>Mutianyu cáp treo / ghế treo + máng trượt (khứ hồi)</t>
        </is>
      </c>
      <c r="B40" s="35" t="n">
        <v>140</v>
      </c>
      <c r="C40" s="9" t="n">
        <v>1</v>
      </c>
      <c r="D40" s="14" t="inlineStr">
        <is>
          <t>Ngày 7</t>
        </is>
      </c>
      <c r="E40" s="5" t="inlineStr">
        <is>
          <t>greatwalltravelguide: 140 khứ hồi, 100 một chiều</t>
        </is>
      </c>
    </row>
    <row r="41">
      <c r="A41" s="14" t="inlineStr">
        <is>
          <t>Thiên Đàn vé thông (mùa thấp điểm)</t>
        </is>
      </c>
      <c r="B41" s="35" t="n">
        <v>28</v>
      </c>
      <c r="C41" s="9" t="n">
        <v>1</v>
      </c>
      <c r="D41" s="14" t="inlineStr">
        <is>
          <t>Ngày 8</t>
        </is>
      </c>
      <c r="E41" s="5" t="inlineStr">
        <is>
          <t>intotravelchina 2026</t>
        </is>
      </c>
    </row>
    <row r="42">
      <c r="A42" s="14" t="inlineStr">
        <is>
          <t>Ditan Park (ngân hạnh)</t>
        </is>
      </c>
      <c r="B42" s="35" t="n">
        <v>10</v>
      </c>
      <c r="C42" s="9" t="n">
        <v>1</v>
      </c>
      <c r="D42" s="14" t="inlineStr">
        <is>
          <t>Ngày 8</t>
        </is>
      </c>
      <c r="E42" s="5" t="inlineStr">
        <is>
          <t>visitbeijing</t>
        </is>
      </c>
    </row>
    <row r="43">
      <c r="A43" s="14" t="inlineStr">
        <is>
          <t>Di Hòa Viên vé thông (mùa thấp điểm)</t>
        </is>
      </c>
      <c r="B43" s="35" t="n">
        <v>50</v>
      </c>
      <c r="C43" s="9" t="n">
        <v>1</v>
      </c>
      <c r="D43" s="14" t="inlineStr">
        <is>
          <t>Ngày 8</t>
        </is>
      </c>
      <c r="E43" s="5" t="inlineStr">
        <is>
          <t>dragontrail 2026</t>
        </is>
      </c>
    </row>
    <row r="44">
      <c r="A44" s="14" t="inlineStr">
        <is>
          <t>Hương Sơn (tuỳ chọn)</t>
        </is>
      </c>
      <c r="B44" s="35" t="n">
        <v>15</v>
      </c>
      <c r="C44" s="9" t="n">
        <v>0</v>
      </c>
      <c r="D44" s="14" t="inlineStr">
        <is>
          <t>Ngày 8</t>
        </is>
      </c>
      <c r="E44" s="5" t="inlineStr">
        <is>
          <t>Đặt 1 nếu đi; cuối tuần 1–2/11 rất đông</t>
        </is>
      </c>
    </row>
    <row r="45">
      <c r="A45" s="14" t="inlineStr">
        <is>
          <t>Cảnh Sơn</t>
        </is>
      </c>
      <c r="B45" s="35" t="n">
        <v>2</v>
      </c>
      <c r="C45" s="9" t="n">
        <v>1</v>
      </c>
      <c r="D45" s="14" t="inlineStr">
        <is>
          <t>Ngày 10</t>
        </is>
      </c>
      <c r="E45" s="5" t="inlineStr">
        <is>
          <t>english.beijing.gov.cn</t>
        </is>
      </c>
    </row>
    <row r="46">
      <c r="A46" s="14" t="inlineStr">
        <is>
          <t>Tử Cấm Thành (mùa thấp điểm từ 1/11)</t>
        </is>
      </c>
      <c r="B46" s="35" t="n">
        <v>40</v>
      </c>
      <c r="C46" s="9" t="n">
        <v>1</v>
      </c>
      <c r="D46" s="14" t="inlineStr">
        <is>
          <t>Ngày 10</t>
        </is>
      </c>
      <c r="E46" s="5" t="inlineStr">
        <is>
          <t>forbiddencity.bj.cn: 40 (1/11–31/3), 60 mùa cao điểm</t>
        </is>
      </c>
    </row>
    <row r="47">
      <c r="A47" s="14" t="inlineStr">
        <is>
          <t>Tử Cấm Thành – Trân Bảo Quán</t>
        </is>
      </c>
      <c r="B47" s="35" t="n">
        <v>10</v>
      </c>
      <c r="C47" s="9" t="n">
        <v>1</v>
      </c>
      <c r="D47" s="14" t="inlineStr">
        <is>
          <t>Ngày 10</t>
        </is>
      </c>
      <c r="E47" s="5" t="inlineStr">
        <is>
          <t>forbiddencity.bj.cn</t>
        </is>
      </c>
    </row>
    <row r="48">
      <c r="A48" s="14" t="inlineStr">
        <is>
          <t>Tử Cấm Thành – Chung Biểu Quán</t>
        </is>
      </c>
      <c r="B48" s="35" t="n">
        <v>10</v>
      </c>
      <c r="C48" s="9" t="n">
        <v>1</v>
      </c>
      <c r="D48" s="14" t="inlineStr">
        <is>
          <t>Ngày 10</t>
        </is>
      </c>
      <c r="E48" s="5" t="inlineStr">
        <is>
          <t>forbiddencity.bj.cn</t>
        </is>
      </c>
    </row>
    <row r="49">
      <c r="A49" s="14" t="inlineStr">
        <is>
          <t>Ung Hòa Cung (đặt slot giờ)</t>
        </is>
      </c>
      <c r="B49" s="35" t="n">
        <v>25</v>
      </c>
      <c r="C49" s="9" t="n">
        <v>1</v>
      </c>
      <c r="D49" s="14" t="inlineStr">
        <is>
          <t>Ngày 9</t>
        </is>
      </c>
      <c r="E49" s="5" t="inlineStr">
        <is>
          <t>wanderinchina 2026</t>
        </is>
      </c>
    </row>
    <row r="50">
      <c r="A50" s="3" t="inlineStr">
        <is>
          <t>Tổng vé tham quan / người (CNY)</t>
        </is>
      </c>
      <c r="B50" s="36">
        <f>SUMPRODUCT(B33:B49,C33:C49)</f>
        <v>1085</v>
      </c>
    </row>
    <row r="52">
      <c r="A52" s="8" t="inlineStr">
        <is>
          <t>Chi phí khác</t>
        </is>
      </c>
      <c r="B52" s="8" t="inlineStr">
        <is>
          <t>Giá</t>
        </is>
      </c>
      <c r="C52" s="8" t="inlineStr">
        <is>
          <t>Tiền tệ</t>
        </is>
      </c>
      <c r="D52" s="8" t="inlineStr">
        <is>
          <t>Cách tính</t>
        </is>
      </c>
      <c r="E52" s="8" t="inlineStr">
        <is>
          <t>Nguồn tham khảo</t>
        </is>
      </c>
    </row>
    <row r="53">
      <c r="A53" s="3" t="inlineStr">
        <is>
          <t>Xe 14 chỗ ngày Trường Thành (cả xe, cả ngày)</t>
        </is>
      </c>
      <c r="B53" s="33" t="n">
        <v>1200</v>
      </c>
      <c r="C53" s="13" t="inlineStr">
        <is>
          <t>CNY</t>
        </is>
      </c>
      <c r="D53" s="5" t="inlineStr">
        <is>
          <t>Chia đều cho tổng số người</t>
        </is>
      </c>
      <c r="E53" s="5" t="inlineStr">
        <is>
          <t>travelchinaguide: 500–1.500 CNY/xe/ngày gồm xăng, cầu đường, gửi xe</t>
        </is>
      </c>
    </row>
    <row r="54">
      <c r="A54" s="3" t="inlineStr">
        <is>
          <t>Đi lại nội thành / người / ngày</t>
        </is>
      </c>
      <c r="B54" s="33" t="n">
        <v>60</v>
      </c>
      <c r="C54" s="13" t="inlineStr">
        <is>
          <t>CNY</t>
        </is>
      </c>
      <c r="D54" s="5" t="inlineStr">
        <is>
          <t>× số ngày tour</t>
        </is>
      </c>
      <c r="E54" s="5" t="inlineStr">
        <is>
          <t>Metro 3–10 CNY/lượt; Didi 13 CNY + 1,45 CNY/km</t>
        </is>
      </c>
    </row>
    <row r="55">
      <c r="A55" s="3" t="inlineStr">
        <is>
          <t>Transfer sân bay, ga / người (cả chuyến)</t>
        </is>
      </c>
      <c r="B55" s="33" t="n">
        <v>150</v>
      </c>
      <c r="C55" s="13" t="inlineStr">
        <is>
          <t>CNY</t>
        </is>
      </c>
      <c r="D55" s="5" t="inlineStr">
        <is>
          <t>1 lần</t>
        </is>
      </c>
      <c r="E55" s="5" t="inlineStr">
        <is>
          <t>Metro L11 SZX ~8; Daxing Express 35; Didi 2 xe ~100/xe</t>
        </is>
      </c>
    </row>
    <row r="56">
      <c r="A56" s="3" t="inlineStr">
        <is>
          <t>Ăn uống / người / ngày</t>
        </is>
      </c>
      <c r="B56" s="33" t="n">
        <v>180</v>
      </c>
      <c r="C56" s="13" t="inlineStr">
        <is>
          <t>CNY</t>
        </is>
      </c>
      <c r="D56" s="5" t="inlineStr">
        <is>
          <t>× số ngày tour</t>
        </is>
      </c>
      <c r="E56" s="5" t="inlineStr">
        <is>
          <t>Quán bình dân 30–50, quán vừa 80–150/bữa, vịt quay 150–200</t>
        </is>
      </c>
    </row>
    <row r="57">
      <c r="A57" s="3" t="inlineStr">
        <is>
          <t>eSIM 10 ngày</t>
        </is>
      </c>
      <c r="B57" s="33" t="n">
        <v>17</v>
      </c>
      <c r="C57" s="13" t="inlineStr">
        <is>
          <t>USD</t>
        </is>
      </c>
      <c r="D57" s="5" t="inlineStr">
        <is>
          <t>1 lần</t>
        </is>
      </c>
      <c r="E57" s="5" t="inlineStr">
        <is>
          <t>Nomad 10 GB ~17 USD, unlimited ~33 USD; Airalo 10 GB ~26,5 USD</t>
        </is>
      </c>
    </row>
    <row r="58">
      <c r="A58" s="3" t="inlineStr">
        <is>
          <t>Bảo hiểm du lịch / người (tuỳ chọn)</t>
        </is>
      </c>
      <c r="B58" s="6" t="n">
        <v>0</v>
      </c>
      <c r="C58" s="13" t="inlineStr">
        <is>
          <t>VND</t>
        </is>
      </c>
      <c r="D58" s="5" t="inlineStr">
        <is>
          <t>1 lần; tham khảo 400k–1,2 triệu</t>
        </is>
      </c>
      <c r="E58" s="5" t="inlineStr">
        <is>
          <t>mia.vn</t>
        </is>
      </c>
    </row>
    <row r="59">
      <c r="A59" s="3" t="inlineStr">
        <is>
          <t>Visa: phí lãnh sự</t>
        </is>
      </c>
      <c r="B59" s="33" t="n">
        <v>60</v>
      </c>
      <c r="C59" s="13" t="inlineStr">
        <is>
          <t>USD</t>
        </is>
      </c>
      <c r="D59" s="5" t="inlineStr">
        <is>
          <t>Nhân với cột 'Cần visa' của nhóm</t>
        </is>
      </c>
      <c r="E59" s="5" t="inlineStr">
        <is>
          <t>mia.vn 2026: 60 USD (1 lần); cattour: 45 USD ưu đãi</t>
        </is>
      </c>
    </row>
    <row r="60">
      <c r="A60" s="3" t="inlineStr">
        <is>
          <t>Visa: phí dịch vụ CVASC</t>
        </is>
      </c>
      <c r="B60" s="6" t="n">
        <v>685000</v>
      </c>
      <c r="C60" s="13" t="inlineStr">
        <is>
          <t>VND</t>
        </is>
      </c>
      <c r="D60" s="5" t="inlineStr">
        <is>
          <t>Nhân với cột 'Cần visa' của nhóm</t>
        </is>
      </c>
      <c r="E60" s="5" t="inlineStr">
        <is>
          <t>mia.vn: 685.000; cattour: 725.000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24" customWidth="1" min="4" max="4"/>
    <col width="22" customWidth="1" min="5" max="5"/>
    <col width="24" customWidth="1" min="6" max="6"/>
  </cols>
  <sheetData>
    <row r="1">
      <c r="A1" s="1" t="inlineStr">
        <is>
          <t>TỔNG HỢP CHI PHÍ (VND) – tự tính từ 3 sheet ChiPhi</t>
        </is>
      </c>
    </row>
    <row r="3">
      <c r="A3" s="8" t="inlineStr">
        <is>
          <t>Nhóm</t>
        </is>
      </c>
      <c r="B3" s="8" t="inlineStr">
        <is>
          <t>Số người</t>
        </is>
      </c>
      <c r="C3" s="8" t="inlineStr">
        <is>
          <t>/ người</t>
        </is>
      </c>
      <c r="D3" s="8" t="inlineStr">
        <is>
          <t>/ người có dự phòng</t>
        </is>
      </c>
      <c r="E3" s="8" t="inlineStr">
        <is>
          <t>Cả nhóm</t>
        </is>
      </c>
      <c r="F3" s="8" t="inlineStr">
        <is>
          <t>Cả nhóm có dự phòng</t>
        </is>
      </c>
    </row>
    <row r="4">
      <c r="A4" s="3" t="inlineStr">
        <is>
          <t>Hà Nội</t>
        </is>
      </c>
      <c r="B4" s="17">
        <f>ThamSo!$B$9</f>
        <v>2</v>
      </c>
      <c r="C4" s="18">
        <f>ChiPhi_HN!$D$23</f>
        <v>38076820</v>
      </c>
      <c r="D4" s="18">
        <f>ChiPhi_HN!$D$25</f>
        <v>41884502</v>
      </c>
      <c r="E4" s="18">
        <f>ChiPhi_HN!$E$23</f>
        <v>76153640</v>
      </c>
      <c r="F4" s="18">
        <f>ChiPhi_HN!$E$25</f>
        <v>83769004</v>
      </c>
    </row>
    <row r="5">
      <c r="A5" s="3" t="inlineStr">
        <is>
          <t>Sài Gòn</t>
        </is>
      </c>
      <c r="B5" s="17">
        <f>ThamSo!$B$10</f>
        <v>4</v>
      </c>
      <c r="C5" s="18">
        <f>ChiPhi_SGN!$D$23</f>
        <v>37026650</v>
      </c>
      <c r="D5" s="18">
        <f>ChiPhi_SGN!$D$25</f>
        <v>40729315</v>
      </c>
      <c r="E5" s="18">
        <f>ChiPhi_SGN!$E$23</f>
        <v>148106600</v>
      </c>
      <c r="F5" s="18">
        <f>ChiPhi_SGN!$E$25</f>
        <v>162917260</v>
      </c>
    </row>
    <row r="6">
      <c r="A6" s="3" t="inlineStr">
        <is>
          <t>Quảng Châu</t>
        </is>
      </c>
      <c r="B6" s="17">
        <f>ThamSo!$B$11</f>
        <v>2</v>
      </c>
      <c r="C6" s="18">
        <f>ChiPhi_QC!$D$23</f>
        <v>35407595</v>
      </c>
      <c r="D6" s="18">
        <f>ChiPhi_QC!$D$25</f>
        <v>38948354.5</v>
      </c>
      <c r="E6" s="18">
        <f>ChiPhi_QC!$E$23</f>
        <v>70815190</v>
      </c>
      <c r="F6" s="18">
        <f>ChiPhi_QC!$E$25</f>
        <v>77896709</v>
      </c>
    </row>
    <row r="7">
      <c r="A7" s="3" t="inlineStr">
        <is>
          <t>CẢ ĐOÀN</t>
        </is>
      </c>
      <c r="B7" s="19">
        <f>SUM(B4:B6)</f>
        <v>8</v>
      </c>
      <c r="C7" s="3" t="inlineStr"/>
      <c r="D7" s="3" t="inlineStr"/>
      <c r="E7" s="20">
        <f>SUM(E4:E6)</f>
        <v/>
      </c>
      <c r="F7" s="20">
        <f>SUM(F4:F6)</f>
        <v>324582973</v>
      </c>
    </row>
    <row r="9">
      <c r="A9" s="3" t="inlineStr">
        <is>
          <t>Ngày đi</t>
        </is>
      </c>
      <c r="B9" s="37">
        <f>ThamSo!$B$3</f>
        <v>46320</v>
      </c>
    </row>
    <row r="10">
      <c r="A10" s="3" t="inlineStr">
        <is>
          <t>Ngày bay về (đêm)</t>
        </is>
      </c>
      <c r="B10" s="37">
        <f>ThamSo!$B$20</f>
        <v>46330</v>
      </c>
    </row>
    <row r="11">
      <c r="A11" s="3" t="inlineStr">
        <is>
          <t>Số ngày / đêm</t>
        </is>
      </c>
      <c r="B11" s="22" t="str">
        <f>ThamSo!$B$19&amp;" ngày / "&amp;ThamSo!$B$18&amp;" đêm"</f>
        <v>11 ngày / 10 đêm</v>
      </c>
    </row>
    <row r="13">
      <c r="A13" s="3" t="inlineStr">
        <is>
          <t>Chú giải</t>
        </is>
      </c>
    </row>
    <row r="14" ht="30" customHeight="1">
      <c r="A14" s="5" t="inlineStr">
        <is>
          <t>Chữ xanh dương = ô nhập tay (chỉ ở sheet ThamSo). Chữ xanh lá = lấy từ sheet khác. Chữ đen = công thức. Nền vàng = ô quan trọng.</t>
        </is>
      </c>
      <c r="B14" s="23" t="n"/>
      <c r="C14" s="23" t="n"/>
      <c r="D14" s="23" t="n"/>
      <c r="E14" s="23" t="n"/>
      <c r="F14" s="24" t="n"/>
    </row>
  </sheetData>
  <mergeCells count="1">
    <mergeCell ref="A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14" customWidth="1" min="4" max="4"/>
    <col width="14" customWidth="1" min="5" max="5"/>
    <col width="70" customWidth="1" min="6" max="6"/>
    <col width="12" customWidth="1" min="7" max="7"/>
    <col width="50" customWidth="1" min="8" max="8"/>
  </cols>
  <sheetData>
    <row r="1">
      <c r="A1" s="1" t="inlineStr">
        <is>
          <t>LỊCH TRÌNH – ngày tự dời theo ThamSo!B3. [trend] = điểm hot với dân du lịch trẻ 2025–2026.</t>
        </is>
      </c>
    </row>
    <row r="2">
      <c r="A2" t="inlineStr">
        <is>
          <t>⚠️ Giờ-by-giờ dưới là bản HOẠT ĐỘNG gốc (v3: đáp ban NGÀY, Thâm Quyến 3 / Hàng Châu 2 / Bắc Kinh 4). THỰC TẾ đã đổi: vé bay ĐÊM (SGN Vietravel 00:10→04:00, HN Shenzhen Air 02:10→05:00), HỘI QUÂN sáng 26/10, HN VỀ ban ngày XiamenAir (đêm 03→04/11 không có VietJet thẳng). Sau khi CHỐT option (A=TQ2/HC3/BK4, B=v3, C=TQ3/HC3/BK4) sẽ sắp lại thứ tự ngày cho khớp số đêm. Xem file .md mục 2–4 cho bản cập nhật.</t>
        </is>
      </c>
    </row>
    <row r="3">
      <c r="A3" s="8" t="inlineStr">
        <is>
          <t>Ngày</t>
        </is>
      </c>
      <c r="B3" s="8" t="inlineStr">
        <is>
          <t>Ngày tháng</t>
        </is>
      </c>
      <c r="C3" s="8" t="inlineStr">
        <is>
          <t>Thứ</t>
        </is>
      </c>
      <c r="D3" s="8" t="inlineStr">
        <is>
          <t>Thành phố</t>
        </is>
      </c>
      <c r="E3" s="8" t="inlineStr">
        <is>
          <t>Giờ</t>
        </is>
      </c>
      <c r="F3" s="8" t="inlineStr">
        <is>
          <t>Hoạt động</t>
        </is>
      </c>
      <c r="G3" s="8" t="inlineStr">
        <is>
          <t>Vé (CNY)</t>
        </is>
      </c>
      <c r="H3" s="8" t="inlineStr">
        <is>
          <t>Ghi chú</t>
        </is>
      </c>
    </row>
    <row r="4">
      <c r="A4" s="3" t="inlineStr">
        <is>
          <t>Ngày 1</t>
        </is>
      </c>
      <c r="B4" s="37">
        <f>ThamSo!$B$3+0</f>
        <v>46320</v>
      </c>
      <c r="C4" s="14" t="str">
        <f>CHOOSE(WEEKDAY(B4),"CN","T2","T3","T4","T5","T6","T7")</f>
        <v>CN</v>
      </c>
      <c r="D4" s="3" t="inlineStr">
        <is>
          <t>Thâm Quyến</t>
        </is>
      </c>
      <c r="E4" s="14" t="inlineStr">
        <is>
          <t>12:00 / 12:30</t>
        </is>
      </c>
      <c r="F4" s="5" t="inlineStr">
        <is>
          <t>Nhóm SGN có mặt Tân Sơn Nhất T2, nhóm HN có mặt Nội Bài T2</t>
        </is>
      </c>
      <c r="G4" s="36" t="inlineStr"/>
      <c r="H4" s="5" t="inlineStr">
        <is>
          <t>Trước giờ bay 2h30</t>
        </is>
      </c>
    </row>
    <row r="5">
      <c r="A5" s="14" t="inlineStr">
        <is>
          <t>Ngày 1</t>
        </is>
      </c>
      <c r="B5" s="37">
        <f>ThamSo!$B$3+0</f>
        <v>46320</v>
      </c>
      <c r="C5" s="14" t="str">
        <f>CHOOSE(WEEKDAY(B5),"CN","T2","T3","T4","T5","T6","T7")</f>
        <v>CN</v>
      </c>
      <c r="D5" s="14" t="inlineStr"/>
      <c r="E5" s="14" t="inlineStr">
        <is>
          <t>17:50 / 18:20</t>
        </is>
      </c>
      <c r="F5" s="5" t="inlineStr">
        <is>
          <t>Đáp SZX T3 (ZH104 / CZ8466). Nhập cảnh, lấy hành lý, gặp nhau sảnh đến</t>
        </is>
      </c>
      <c r="G5" s="36" t="inlineStr"/>
      <c r="H5" s="5" t="inlineStr">
        <is>
          <t>Cùng nhà ga T3</t>
        </is>
      </c>
    </row>
    <row r="6">
      <c r="A6" s="14" t="inlineStr">
        <is>
          <t>Ngày 1</t>
        </is>
      </c>
      <c r="B6" s="37">
        <f>ThamSo!$B$3+0</f>
        <v>46320</v>
      </c>
      <c r="C6" s="14" t="str">
        <f>CHOOSE(WEEKDAY(B6),"CN","T2","T3","T4","T5","T6","T7")</f>
        <v>CN</v>
      </c>
      <c r="D6" s="14" t="inlineStr"/>
      <c r="E6" s="14" t="inlineStr">
        <is>
          <t>19:30</t>
        </is>
      </c>
      <c r="F6" s="5" t="inlineStr">
        <is>
          <t>Về khách sạn Futian: Metro L11 ~30 phút (~8 CNY) hoặc 2 xe Didi (~100 CNY/xe)</t>
        </is>
      </c>
      <c r="G6" s="36" t="inlineStr"/>
      <c r="H6" s="5" t="inlineStr"/>
    </row>
    <row r="7">
      <c r="A7" s="14" t="inlineStr">
        <is>
          <t>Ngày 1</t>
        </is>
      </c>
      <c r="B7" s="37">
        <f>ThamSo!$B$3+0</f>
        <v>46320</v>
      </c>
      <c r="C7" s="14" t="str">
        <f>CHOOSE(WEEKDAY(B7),"CN","T2","T3","T4","T5","T6","T7")</f>
        <v>CN</v>
      </c>
      <c r="D7" s="14" t="inlineStr"/>
      <c r="E7" s="14" t="inlineStr">
        <is>
          <t>19:30–20:00</t>
        </is>
      </c>
      <c r="F7" s="5" t="inlineStr">
        <is>
          <t>Nhóm Quảng Châu: tàu G Guangzhou South → Futian (29 phút), về khách sạn</t>
        </is>
      </c>
      <c r="G7" s="36" t="inlineStr"/>
      <c r="H7" s="5" t="inlineStr">
        <is>
          <t>Vé 74,5 CNY</t>
        </is>
      </c>
    </row>
    <row r="8">
      <c r="A8" s="14" t="inlineStr">
        <is>
          <t>Ngày 1</t>
        </is>
      </c>
      <c r="B8" s="37">
        <f>ThamSo!$B$3+0</f>
        <v>46320</v>
      </c>
      <c r="C8" s="14" t="str">
        <f>CHOOSE(WEEKDAY(B8),"CN","T2","T3","T4","T5","T6","T7")</f>
        <v>CN</v>
      </c>
      <c r="D8" s="14" t="inlineStr"/>
      <c r="E8" s="14" t="inlineStr">
        <is>
          <t>20:00</t>
        </is>
      </c>
      <c r="F8" s="5" t="inlineStr">
        <is>
          <t>Cả đoàn ăn tối Coco Park. Kích hoạt eSIM, set Alipay / WeChat Pay</t>
        </is>
      </c>
      <c r="G8" s="36" t="inlineStr"/>
      <c r="H8" s="5" t="inlineStr"/>
    </row>
    <row r="9">
      <c r="A9" s="3" t="inlineStr">
        <is>
          <t>Ngày 2</t>
        </is>
      </c>
      <c r="B9" s="37">
        <f>ThamSo!$B$3+1</f>
        <v>46321</v>
      </c>
      <c r="C9" s="14" t="str">
        <f>CHOOSE(WEEKDAY(B9),"CN","T2","T3","T4","T5","T6","T7")</f>
        <v>T2</v>
      </c>
      <c r="D9" s="3" t="inlineStr">
        <is>
          <t>Thâm Quyến</t>
        </is>
      </c>
      <c r="E9" s="14" t="inlineStr">
        <is>
          <t>09:30–12:30</t>
        </is>
      </c>
      <c r="F9" s="5" t="inlineStr">
        <is>
          <t>[trend] Nantou Ancient Town – cổ thành 1.700 năm cải tạo thành khu cafe, gallery, bar thủ công (Metro L12). Ăn trưa trong khu</t>
        </is>
      </c>
      <c r="G9" s="36" t="inlineStr"/>
      <c r="H9" s="5" t="inlineStr">
        <is>
          <t>Miễn phí</t>
        </is>
      </c>
    </row>
    <row r="10">
      <c r="A10" s="14" t="inlineStr">
        <is>
          <t>Ngày 2</t>
        </is>
      </c>
      <c r="B10" s="37">
        <f>ThamSo!$B$3+1</f>
        <v>46321</v>
      </c>
      <c r="C10" s="14" t="str">
        <f>CHOOSE(WEEKDAY(B10),"CN","T2","T3","T4","T5","T6","T7")</f>
        <v>T2</v>
      </c>
      <c r="D10" s="14" t="inlineStr"/>
      <c r="E10" s="14" t="inlineStr">
        <is>
          <t>14:00–16:30</t>
        </is>
      </c>
      <c r="F10" s="5" t="inlineStr">
        <is>
          <t>Huaqiangbei – chợ điện tử lớn nhất TQ: SEG Plaza, Huaqiang Electronic World, Mingtong</t>
        </is>
      </c>
      <c r="G10" s="36" t="inlineStr"/>
      <c r="H10" s="5" t="inlineStr">
        <is>
          <t>Miễn phí, mở ~10:00–20:00</t>
        </is>
      </c>
    </row>
    <row r="11">
      <c r="A11" s="14" t="inlineStr">
        <is>
          <t>Ngày 2</t>
        </is>
      </c>
      <c r="B11" s="37">
        <f>ThamSo!$B$3+1</f>
        <v>46321</v>
      </c>
      <c r="C11" s="14" t="str">
        <f>CHOOSE(WEEKDAY(B11),"CN","T2","T3","T4","T5","T6","T7")</f>
        <v>T2</v>
      </c>
      <c r="D11" s="14" t="inlineStr"/>
      <c r="E11" s="14" t="inlineStr">
        <is>
          <t>17:00–19:00</t>
        </is>
      </c>
      <c r="F11" s="5" t="inlineStr">
        <is>
          <t>Ping An Finance Center – Free Sky tầng 116, hoàng hôn ~17:50 (vào cửa cuối 19:15, book bằng hộ chiếu)</t>
        </is>
      </c>
      <c r="G11" s="38">
        <f>ThamSo!$B$33*ThamSo!$C$33</f>
        <v>180</v>
      </c>
      <c r="H11" s="5" t="inlineStr">
        <is>
          <t>Online 180, quầy 200</t>
        </is>
      </c>
    </row>
    <row r="12">
      <c r="A12" s="14" t="inlineStr">
        <is>
          <t>Ngày 2</t>
        </is>
      </c>
      <c r="B12" s="37">
        <f>ThamSo!$B$3+1</f>
        <v>46321</v>
      </c>
      <c r="C12" s="14" t="str">
        <f>CHOOSE(WEEKDAY(B12),"CN","T2","T3","T4","T5","T6","T7")</f>
        <v>T2</v>
      </c>
      <c r="D12" s="14" t="inlineStr"/>
      <c r="E12" s="14" t="inlineStr">
        <is>
          <t>19:30</t>
        </is>
      </c>
      <c r="F12" s="5" t="inlineStr">
        <is>
          <t>Ăn tối Futian</t>
        </is>
      </c>
      <c r="G12" s="36" t="inlineStr"/>
      <c r="H12" s="5" t="inlineStr"/>
    </row>
    <row r="13">
      <c r="A13" s="3" t="inlineStr">
        <is>
          <t>Ngày 3</t>
        </is>
      </c>
      <c r="B13" s="37">
        <f>ThamSo!$B$3+2</f>
        <v>46322</v>
      </c>
      <c r="C13" s="14" t="str">
        <f>CHOOSE(WEEKDAY(B13),"CN","T2","T3","T4","T5","T6","T7")</f>
        <v>T3</v>
      </c>
      <c r="D13" s="3" t="inlineStr">
        <is>
          <t>Thâm Quyến</t>
        </is>
      </c>
      <c r="E13" s="14" t="inlineStr">
        <is>
          <t>09:00–12:00</t>
        </is>
      </c>
      <c r="F13" s="5" t="inlineStr">
        <is>
          <t>Dafen Oil Painting Village – làng tranh sơn dầu, đặt vẽ / mua tranh giá xưởng (Metro L3 ga Dafen, exit A1)</t>
        </is>
      </c>
      <c r="G13" s="36" t="inlineStr"/>
      <c r="H13" s="5" t="inlineStr">
        <is>
          <t>Miễn phí</t>
        </is>
      </c>
    </row>
    <row r="14">
      <c r="A14" s="14" t="inlineStr">
        <is>
          <t>Ngày 3</t>
        </is>
      </c>
      <c r="B14" s="37">
        <f>ThamSo!$B$3+2</f>
        <v>46322</v>
      </c>
      <c r="C14" s="14" t="str">
        <f>CHOOSE(WEEKDAY(B14),"CN","T2","T3","T4","T5","T6","T7")</f>
        <v>T3</v>
      </c>
      <c r="D14" s="14" t="inlineStr"/>
      <c r="E14" s="14" t="inlineStr">
        <is>
          <t>14:00–16:00</t>
        </is>
      </c>
      <c r="F14" s="5" t="inlineStr">
        <is>
          <t>[trend] Shenzhen MixC World (Nam Sơn) – flagship Huawei, HAUS NOWHERE, cafe; hoặc OCT-LOFT nếu thích nghệ thuật</t>
        </is>
      </c>
      <c r="G14" s="36" t="inlineStr"/>
      <c r="H14" s="5" t="inlineStr">
        <is>
          <t>Miễn phí</t>
        </is>
      </c>
    </row>
    <row r="15">
      <c r="A15" s="14" t="inlineStr">
        <is>
          <t>Ngày 3</t>
        </is>
      </c>
      <c r="B15" s="37">
        <f>ThamSo!$B$3+2</f>
        <v>46322</v>
      </c>
      <c r="C15" s="14" t="str">
        <f>CHOOSE(WEEKDAY(B15),"CN","T2","T3","T4","T5","T6","T7")</f>
        <v>T3</v>
      </c>
      <c r="D15" s="14" t="inlineStr"/>
      <c r="E15" s="14" t="inlineStr">
        <is>
          <t>16:30–18:30</t>
        </is>
      </c>
      <c r="F15" s="5" t="inlineStr">
        <is>
          <t>[trend] Shenzhen Talent Park / Shenzhen Bay Park – hoàng hôn, skyline Hong Kong</t>
        </is>
      </c>
      <c r="G15" s="36" t="inlineStr"/>
      <c r="H15" s="5" t="inlineStr">
        <is>
          <t>Miễn phí</t>
        </is>
      </c>
    </row>
    <row r="16">
      <c r="A16" s="14" t="inlineStr">
        <is>
          <t>Ngày 3</t>
        </is>
      </c>
      <c r="B16" s="37">
        <f>ThamSo!$B$3+2</f>
        <v>46322</v>
      </c>
      <c r="C16" s="14" t="str">
        <f>CHOOSE(WEEKDAY(B16),"CN","T2","T3","T4","T5","T6","T7")</f>
        <v>T3</v>
      </c>
      <c r="D16" s="14" t="inlineStr"/>
      <c r="E16" s="14" t="inlineStr">
        <is>
          <t>19:00</t>
        </is>
      </c>
      <c r="F16" s="5" t="inlineStr">
        <is>
          <t>Ăn tối Sea World (Shekou). Soạn hành lý bay sớm</t>
        </is>
      </c>
      <c r="G16" s="36" t="inlineStr"/>
      <c r="H16" s="5" t="inlineStr"/>
    </row>
    <row r="17">
      <c r="A17" s="3" t="inlineStr">
        <is>
          <t>Ngày 4</t>
        </is>
      </c>
      <c r="B17" s="37">
        <f>ThamSo!$B$3+3</f>
        <v>46323</v>
      </c>
      <c r="C17" s="14" t="str">
        <f>CHOOSE(WEEKDAY(B17),"CN","T2","T3","T4","T5","T6","T7")</f>
        <v>T4</v>
      </c>
      <c r="D17" s="3" t="inlineStr">
        <is>
          <t>Hàng Châu</t>
        </is>
      </c>
      <c r="E17" s="14" t="inlineStr">
        <is>
          <t>05:45</t>
        </is>
      </c>
      <c r="F17" s="5" t="inlineStr">
        <is>
          <t>Rời khách sạn ra SZX (30–40 phút)</t>
        </is>
      </c>
      <c r="G17" s="36" t="inlineStr"/>
      <c r="H17" s="5" t="inlineStr"/>
    </row>
    <row r="18">
      <c r="A18" s="14" t="inlineStr">
        <is>
          <t>Ngày 4</t>
        </is>
      </c>
      <c r="B18" s="37">
        <f>ThamSo!$B$3+3</f>
        <v>46323</v>
      </c>
      <c r="C18" s="14" t="str">
        <f>CHOOSE(WEEKDAY(B18),"CN","T2","T3","T4","T5","T6","T7")</f>
        <v>T4</v>
      </c>
      <c r="D18" s="14" t="inlineStr"/>
      <c r="E18" s="14" t="inlineStr">
        <is>
          <t>08:00 → 09:55</t>
        </is>
      </c>
      <c r="F18" s="5" t="inlineStr">
        <is>
          <t>Bay SZX → HGH (CZ8711 hoặc chuyến tương đương)</t>
        </is>
      </c>
      <c r="G18" s="36" t="inlineStr"/>
      <c r="H18" s="5" t="inlineStr">
        <is>
          <t>ThamSo dòng 29</t>
        </is>
      </c>
    </row>
    <row r="19">
      <c r="A19" s="14" t="inlineStr">
        <is>
          <t>Ngày 4</t>
        </is>
      </c>
      <c r="B19" s="37">
        <f>ThamSo!$B$3+3</f>
        <v>46323</v>
      </c>
      <c r="C19" s="14" t="str">
        <f>CHOOSE(WEEKDAY(B19),"CN","T2","T3","T4","T5","T6","T7")</f>
        <v>T4</v>
      </c>
      <c r="D19" s="14" t="inlineStr"/>
      <c r="E19" s="14" t="inlineStr">
        <is>
          <t>10:30–11:30</t>
        </is>
      </c>
      <c r="F19" s="5" t="inlineStr">
        <is>
          <t>HGH → khách sạn khu Hubin (Metro L1/L7 ~1h hoặc taxi ~50 phút). Gửi hành lý</t>
        </is>
      </c>
      <c r="G19" s="36" t="inlineStr"/>
      <c r="H19" s="5" t="inlineStr"/>
    </row>
    <row r="20">
      <c r="A20" s="14" t="inlineStr">
        <is>
          <t>Ngày 4</t>
        </is>
      </c>
      <c r="B20" s="37">
        <f>ThamSo!$B$3+3</f>
        <v>46323</v>
      </c>
      <c r="C20" s="14" t="str">
        <f>CHOOSE(WEEKDAY(B20),"CN","T2","T3","T4","T5","T6","T7")</f>
        <v>T4</v>
      </c>
      <c r="D20" s="14" t="inlineStr"/>
      <c r="E20" s="14" t="inlineStr">
        <is>
          <t>12:00</t>
        </is>
      </c>
      <c r="F20" s="5" t="inlineStr">
        <is>
          <t>Ăn trưa gần Hubin: cá giấm Tây Hồ, thịt Đông Pha</t>
        </is>
      </c>
      <c r="G20" s="36" t="inlineStr"/>
      <c r="H20" s="5" t="inlineStr"/>
    </row>
    <row r="21">
      <c r="A21" s="14" t="inlineStr">
        <is>
          <t>Ngày 4</t>
        </is>
      </c>
      <c r="B21" s="37">
        <f>ThamSo!$B$3+3</f>
        <v>46323</v>
      </c>
      <c r="C21" s="14" t="str">
        <f>CHOOSE(WEEKDAY(B21),"CN","T2","T3","T4","T5","T6","T7")</f>
        <v>T4</v>
      </c>
      <c r="D21" s="14" t="inlineStr"/>
      <c r="E21" s="14" t="inlineStr">
        <is>
          <t>13:30–17:30</t>
        </is>
      </c>
      <c r="F21" s="5" t="inlineStr">
        <is>
          <t>Tây Hồ: thuyền ra đảo Tiểu Doanh (chuyến cuối 16:00) → đê Tô → tháp Lôi Phong ngắm hoàng hôn</t>
        </is>
      </c>
      <c r="G21" s="38">
        <f>ThamSo!$B$34*ThamSo!$C$34</f>
        <v>55</v>
      </c>
      <c r="H21" s="5" t="inlineStr">
        <is>
          <t>Lôi Phong tính dòng dưới</t>
        </is>
      </c>
    </row>
    <row r="22">
      <c r="A22" s="14" t="inlineStr">
        <is>
          <t>Ngày 4</t>
        </is>
      </c>
      <c r="B22" s="37">
        <f>ThamSo!$B$3+3</f>
        <v>46323</v>
      </c>
      <c r="C22" s="14" t="str">
        <f>CHOOSE(WEEKDAY(B22),"CN","T2","T3","T4","T5","T6","T7")</f>
        <v>T4</v>
      </c>
      <c r="D22" s="14" t="inlineStr"/>
      <c r="E22" s="14" t="inlineStr"/>
      <c r="F22" s="5" t="inlineStr">
        <is>
          <t>Tháp Lôi Phong</t>
        </is>
      </c>
      <c r="G22" s="38">
        <f>ThamSo!$B$35*ThamSo!$C$35</f>
        <v>40</v>
      </c>
      <c r="H22" s="5" t="inlineStr">
        <is>
          <t>Mùa 11–3 mở tới 17:30</t>
        </is>
      </c>
    </row>
    <row r="23">
      <c r="A23" s="14" t="inlineStr">
        <is>
          <t>Ngày 4</t>
        </is>
      </c>
      <c r="B23" s="37">
        <f>ThamSo!$B$3+3</f>
        <v>46323</v>
      </c>
      <c r="C23" s="14" t="str">
        <f>CHOOSE(WEEKDAY(B23),"CN","T2","T3","T4","T5","T6","T7")</f>
        <v>T4</v>
      </c>
      <c r="D23" s="14" t="inlineStr"/>
      <c r="E23" s="14" t="inlineStr">
        <is>
          <t>19:40–20:35</t>
        </is>
      </c>
      <c r="F23" s="5" t="inlineStr">
        <is>
          <t>[trend] Impression West Lake – show Trương Nghệ Mưu trên mặt hồ (82 Beishan Rd). Đặt trước 1–2 tuần</t>
        </is>
      </c>
      <c r="G23" s="38">
        <f>ThamSo!$B$36*ThamSo!$C$36</f>
        <v>360</v>
      </c>
      <c r="H23" s="5" t="inlineStr">
        <is>
          <t>360 / 430 VIP / 960</t>
        </is>
      </c>
    </row>
    <row r="24">
      <c r="A24" s="3" t="inlineStr">
        <is>
          <t>Ngày 5</t>
        </is>
      </c>
      <c r="B24" s="37">
        <f>ThamSo!$B$3+4</f>
        <v>46324</v>
      </c>
      <c r="C24" s="14" t="str">
        <f>CHOOSE(WEEKDAY(B24),"CN","T2","T3","T4","T5","T6","T7")</f>
        <v>T5</v>
      </c>
      <c r="D24" s="3" t="inlineStr">
        <is>
          <t>Hàng Châu</t>
        </is>
      </c>
      <c r="E24" s="14" t="inlineStr">
        <is>
          <t>08:00–10:30</t>
        </is>
      </c>
      <c r="F24" s="5" t="inlineStr">
        <is>
          <t>Chùa Linh Ẩn + Phi Lai Phong, đi sớm tránh đông</t>
        </is>
      </c>
      <c r="G24" s="38">
        <f>ThamSo!$B$37*ThamSo!$C$37</f>
        <v>75</v>
      </c>
      <c r="H24" s="5" t="inlineStr">
        <is>
          <t>45 + 30</t>
        </is>
      </c>
    </row>
    <row r="25">
      <c r="A25" s="14" t="inlineStr">
        <is>
          <t>Ngày 5</t>
        </is>
      </c>
      <c r="B25" s="37">
        <f>ThamSo!$B$3+4</f>
        <v>46324</v>
      </c>
      <c r="C25" s="14" t="str">
        <f>CHOOSE(WEEKDAY(B25),"CN","T2","T3","T4","T5","T6","T7")</f>
        <v>T5</v>
      </c>
      <c r="D25" s="14" t="inlineStr"/>
      <c r="E25" s="14" t="inlineStr">
        <is>
          <t>11:00–14:00</t>
        </is>
      </c>
      <c r="F25" s="5" t="inlineStr">
        <is>
          <t>[trend] Làng trà Long Tỉnh + Mãn Giác Lũng – cafe giữa đồi trà, mùa hoa quế. Ăn trưa nhà dân trồng trà</t>
        </is>
      </c>
      <c r="G25" s="36" t="inlineStr"/>
      <c r="H25" s="5" t="inlineStr">
        <is>
          <t>Ăn ~80–120 CNY</t>
        </is>
      </c>
    </row>
    <row r="26">
      <c r="A26" s="14" t="inlineStr">
        <is>
          <t>Ngày 5</t>
        </is>
      </c>
      <c r="B26" s="37">
        <f>ThamSo!$B$3+4</f>
        <v>46324</v>
      </c>
      <c r="C26" s="14" t="str">
        <f>CHOOSE(WEEKDAY(B26),"CN","T2","T3","T4","T5","T6","T7")</f>
        <v>T5</v>
      </c>
      <c r="D26" s="14" t="inlineStr"/>
      <c r="E26" s="14" t="inlineStr">
        <is>
          <t>14:30–16:00</t>
        </is>
      </c>
      <c r="F26" s="5" t="inlineStr">
        <is>
          <t>Bảo tàng Trà quốc gia (nghỉ Thứ Hai)</t>
        </is>
      </c>
      <c r="G26" s="36" t="inlineStr"/>
      <c r="H26" s="5" t="inlineStr">
        <is>
          <t>Miễn phí</t>
        </is>
      </c>
    </row>
    <row r="27">
      <c r="A27" s="14" t="inlineStr">
        <is>
          <t>Ngày 5</t>
        </is>
      </c>
      <c r="B27" s="37">
        <f>ThamSo!$B$3+4</f>
        <v>46324</v>
      </c>
      <c r="C27" s="14" t="str">
        <f>CHOOSE(WEEKDAY(B27),"CN","T2","T3","T4","T5","T6","T7")</f>
        <v>T5</v>
      </c>
      <c r="D27" s="14" t="inlineStr"/>
      <c r="E27" s="14" t="inlineStr">
        <is>
          <t>16:30–18:00</t>
        </is>
      </c>
      <c r="F27" s="5" t="inlineStr">
        <is>
          <t>Cửu Khê (Jiuxi) đi bộ suối giữa rừng trà</t>
        </is>
      </c>
      <c r="G27" s="36" t="inlineStr"/>
      <c r="H27" s="5" t="inlineStr">
        <is>
          <t>Miễn phí</t>
        </is>
      </c>
    </row>
    <row r="28">
      <c r="A28" s="14" t="inlineStr">
        <is>
          <t>Ngày 5</t>
        </is>
      </c>
      <c r="B28" s="37">
        <f>ThamSo!$B$3+4</f>
        <v>46324</v>
      </c>
      <c r="C28" s="14" t="str">
        <f>CHOOSE(WEEKDAY(B28),"CN","T2","T3","T4","T5","T6","T7")</f>
        <v>T5</v>
      </c>
      <c r="D28" s="14" t="inlineStr"/>
      <c r="E28" s="14" t="inlineStr">
        <is>
          <t>18:30–21:00</t>
        </is>
      </c>
      <c r="F28" s="5" t="inlineStr">
        <is>
          <t>[trend] Chợ đêm Wulin (17:00–23:00) + đường Wulin; hoặc phố cổ Hà Phường</t>
        </is>
      </c>
      <c r="G28" s="36" t="inlineStr"/>
      <c r="H28" s="5" t="inlineStr"/>
    </row>
    <row r="29">
      <c r="A29" s="3" t="inlineStr">
        <is>
          <t>Ngày 6</t>
        </is>
      </c>
      <c r="B29" s="37">
        <f>ThamSo!$B$3+5</f>
        <v>46325</v>
      </c>
      <c r="C29" s="14" t="str">
        <f>CHOOSE(WEEKDAY(B29),"CN","T2","T3","T4","T5","T6","T7")</f>
        <v>T6</v>
      </c>
      <c r="D29" s="3" t="inlineStr">
        <is>
          <t>Hàng Châu → Bắc Kinh</t>
        </is>
      </c>
      <c r="E29" s="14" t="inlineStr">
        <is>
          <t>09:00–11:00</t>
        </is>
      </c>
      <c r="F29" s="5" t="inlineStr">
        <is>
          <t>[trend] Xiaohe Street + cầu Gongchen (Đại Vận Hà) – phố cổ ven kênh, cafe, shop thủ công</t>
        </is>
      </c>
      <c r="G29" s="36" t="inlineStr"/>
      <c r="H29" s="5" t="inlineStr">
        <is>
          <t>Miễn phí; trả phòng / gửi hành lý trước</t>
        </is>
      </c>
    </row>
    <row r="30">
      <c r="A30" s="14" t="inlineStr">
        <is>
          <t>Ngày 6</t>
        </is>
      </c>
      <c r="B30" s="37">
        <f>ThamSo!$B$3+5</f>
        <v>46325</v>
      </c>
      <c r="C30" s="14" t="str">
        <f>CHOOSE(WEEKDAY(B30),"CN","T2","T3","T4","T5","T6","T7")</f>
        <v>T6</v>
      </c>
      <c r="D30" s="14" t="inlineStr"/>
      <c r="E30" s="14" t="inlineStr">
        <is>
          <t>11:30</t>
        </is>
      </c>
      <c r="F30" s="5" t="inlineStr">
        <is>
          <t>Ra ga Hangzhou East (Metro L1/L4 ~30 phút)</t>
        </is>
      </c>
      <c r="G30" s="36" t="inlineStr"/>
      <c r="H30" s="5" t="inlineStr"/>
    </row>
    <row r="31">
      <c r="A31" s="14" t="inlineStr">
        <is>
          <t>Ngày 6</t>
        </is>
      </c>
      <c r="B31" s="37">
        <f>ThamSo!$B$3+5</f>
        <v>46325</v>
      </c>
      <c r="C31" s="14" t="str">
        <f>CHOOSE(WEEKDAY(B31),"CN","T2","T3","T4","T5","T6","T7")</f>
        <v>T6</v>
      </c>
      <c r="D31" s="14" t="inlineStr"/>
      <c r="E31" s="14" t="inlineStr">
        <is>
          <t>12:00–13:30</t>
        </is>
      </c>
      <c r="F31" s="5" t="inlineStr">
        <is>
          <t>Tàu G Hangzhou East → Beijing South hạng 2, chọn chuyến ~4,5h</t>
        </is>
      </c>
      <c r="G31" s="36" t="inlineStr"/>
      <c r="H31" s="5" t="inlineStr">
        <is>
          <t>ThamSo dòng 30; mở bán 15 ngày trước</t>
        </is>
      </c>
    </row>
    <row r="32">
      <c r="A32" s="14" t="inlineStr">
        <is>
          <t>Ngày 6</t>
        </is>
      </c>
      <c r="B32" s="37">
        <f>ThamSo!$B$3+5</f>
        <v>46325</v>
      </c>
      <c r="C32" s="14" t="str">
        <f>CHOOSE(WEEKDAY(B32),"CN","T2","T3","T4","T5","T6","T7")</f>
        <v>T6</v>
      </c>
      <c r="D32" s="14" t="inlineStr"/>
      <c r="E32" s="14" t="inlineStr">
        <is>
          <t>~17:30–18:30</t>
        </is>
      </c>
      <c r="F32" s="5" t="inlineStr">
        <is>
          <t>Đến Beijing South → khách sạn Vương Phủ Tỉnh / Đông Đan (2 xe Didi ~40 CNY/xe)</t>
        </is>
      </c>
      <c r="G32" s="36" t="inlineStr"/>
      <c r="H32" s="5" t="inlineStr"/>
    </row>
    <row r="33">
      <c r="A33" s="14" t="inlineStr">
        <is>
          <t>Ngày 6</t>
        </is>
      </c>
      <c r="B33" s="37">
        <f>ThamSo!$B$3+5</f>
        <v>46325</v>
      </c>
      <c r="C33" s="14" t="str">
        <f>CHOOSE(WEEKDAY(B33),"CN","T2","T3","T4","T5","T6","T7")</f>
        <v>T6</v>
      </c>
      <c r="D33" s="14" t="inlineStr"/>
      <c r="E33" s="14" t="inlineStr">
        <is>
          <t>19:30</t>
        </is>
      </c>
      <c r="F33" s="5" t="inlineStr">
        <is>
          <t>Vịt quay Siji Minfu 四季民福 gần Tử Cấm Thành (150–200 CNY/người), đặt bàn hoặc tới sớm</t>
        </is>
      </c>
      <c r="G33" s="36" t="inlineStr"/>
      <c r="H33" s="5" t="inlineStr">
        <is>
          <t>Tính trong ăn uống</t>
        </is>
      </c>
    </row>
    <row r="34">
      <c r="A34" s="3" t="inlineStr">
        <is>
          <t>Ngày 7</t>
        </is>
      </c>
      <c r="B34" s="37">
        <f>ThamSo!$B$3+6</f>
        <v>46326</v>
      </c>
      <c r="C34" s="14" t="str">
        <f>CHOOSE(WEEKDAY(B34),"CN","T2","T3","T4","T5","T6","T7")</f>
        <v>T7</v>
      </c>
      <c r="D34" s="3" t="inlineStr">
        <is>
          <t>Bắc Kinh</t>
        </is>
      </c>
      <c r="E34" s="14" t="inlineStr">
        <is>
          <t>07:00</t>
        </is>
      </c>
      <c r="F34" s="5" t="inlineStr">
        <is>
          <t>Xe riêng 14 chỗ đi Mutianyu (~1h30), đi sớm vì Thứ Bảy đông</t>
        </is>
      </c>
      <c r="G34" s="36" t="inlineStr"/>
      <c r="H34" s="5" t="inlineStr">
        <is>
          <t>ThamSo dòng xe</t>
        </is>
      </c>
    </row>
    <row r="35">
      <c r="A35" s="14" t="inlineStr">
        <is>
          <t>Ngày 7</t>
        </is>
      </c>
      <c r="B35" s="37">
        <f>ThamSo!$B$3+6</f>
        <v>46326</v>
      </c>
      <c r="C35" s="14" t="str">
        <f>CHOOSE(WEEKDAY(B35),"CN","T2","T3","T4","T5","T6","T7")</f>
        <v>T7</v>
      </c>
      <c r="D35" s="14" t="inlineStr"/>
      <c r="E35" s="14" t="inlineStr">
        <is>
          <t>08:45–12:30</t>
        </is>
      </c>
      <c r="F35" s="5" t="inlineStr">
        <is>
          <t>Vạn Lý Trường Thành Mộ Điền Dục: cáp treo lên tháp 14, đi bộ tới tháp 20, máng trượt xuống (tuỳ thời tiết, không cho 60+)</t>
        </is>
      </c>
      <c r="G35" s="38">
        <f>ThamSo!$B$38*ThamSo!$C$38</f>
        <v>45</v>
      </c>
      <c r="H35" s="5" t="inlineStr">
        <is>
          <t>+ shuttle 15 + cáp/máng 140</t>
        </is>
      </c>
    </row>
    <row r="36">
      <c r="A36" s="14" t="inlineStr">
        <is>
          <t>Ngày 7</t>
        </is>
      </c>
      <c r="B36" s="37">
        <f>ThamSo!$B$3+6</f>
        <v>46326</v>
      </c>
      <c r="C36" s="14" t="str">
        <f>CHOOSE(WEEKDAY(B36),"CN","T2","T3","T4","T5","T6","T7")</f>
        <v>T7</v>
      </c>
      <c r="D36" s="14" t="inlineStr"/>
      <c r="E36" s="14" t="inlineStr"/>
      <c r="F36" s="5" t="inlineStr">
        <is>
          <t>Shuttle bus bãi xe ↔ cổng</t>
        </is>
      </c>
      <c r="G36" s="38">
        <f>ThamSo!$B$39*ThamSo!$C$39</f>
        <v>15</v>
      </c>
      <c r="H36" s="5" t="inlineStr"/>
    </row>
    <row r="37">
      <c r="A37" s="14" t="inlineStr">
        <is>
          <t>Ngày 7</t>
        </is>
      </c>
      <c r="B37" s="37">
        <f>ThamSo!$B$3+6</f>
        <v>46326</v>
      </c>
      <c r="C37" s="14" t="str">
        <f>CHOOSE(WEEKDAY(B37),"CN","T2","T3","T4","T5","T6","T7")</f>
        <v>T7</v>
      </c>
      <c r="D37" s="14" t="inlineStr"/>
      <c r="E37" s="14" t="inlineStr"/>
      <c r="F37" s="5" t="inlineStr">
        <is>
          <t>Cáp treo / ghế treo + máng trượt khứ hồi</t>
        </is>
      </c>
      <c r="G37" s="38">
        <f>ThamSo!$B$40*ThamSo!$C$40</f>
        <v>140</v>
      </c>
      <c r="H37" s="5" t="inlineStr">
        <is>
          <t>Một chiều 100</t>
        </is>
      </c>
    </row>
    <row r="38">
      <c r="A38" s="14" t="inlineStr">
        <is>
          <t>Ngày 7</t>
        </is>
      </c>
      <c r="B38" s="37">
        <f>ThamSo!$B$3+6</f>
        <v>46326</v>
      </c>
      <c r="C38" s="14" t="str">
        <f>CHOOSE(WEEKDAY(B38),"CN","T2","T3","T4","T5","T6","T7")</f>
        <v>T7</v>
      </c>
      <c r="D38" s="14" t="inlineStr"/>
      <c r="E38" s="14" t="inlineStr">
        <is>
          <t>12:30</t>
        </is>
      </c>
      <c r="F38" s="5" t="inlineStr">
        <is>
          <t>Ăn trưa chân núi</t>
        </is>
      </c>
      <c r="G38" s="36" t="inlineStr"/>
      <c r="H38" s="5" t="inlineStr"/>
    </row>
    <row r="39">
      <c r="A39" s="14" t="inlineStr">
        <is>
          <t>Ngày 7</t>
        </is>
      </c>
      <c r="B39" s="37">
        <f>ThamSo!$B$3+6</f>
        <v>46326</v>
      </c>
      <c r="C39" s="14" t="str">
        <f>CHOOSE(WEEKDAY(B39),"CN","T2","T3","T4","T5","T6","T7")</f>
        <v>T7</v>
      </c>
      <c r="D39" s="14" t="inlineStr"/>
      <c r="E39" s="14" t="inlineStr">
        <is>
          <t>15:30–17:30</t>
        </is>
      </c>
      <c r="F39" s="5" t="inlineStr">
        <is>
          <t>[trend] 798 Art Zone – trên đường về từ Mutianyu, gallery mở Thứ Bảy, street art</t>
        </is>
      </c>
      <c r="G39" s="36" t="inlineStr"/>
      <c r="H39" s="5" t="inlineStr">
        <is>
          <t>Miễn phí</t>
        </is>
      </c>
    </row>
    <row r="40">
      <c r="A40" s="14" t="inlineStr">
        <is>
          <t>Ngày 7</t>
        </is>
      </c>
      <c r="B40" s="37">
        <f>ThamSo!$B$3+6</f>
        <v>46326</v>
      </c>
      <c r="C40" s="14" t="str">
        <f>CHOOSE(WEEKDAY(B40),"CN","T2","T3","T4","T5","T6","T7")</f>
        <v>T7</v>
      </c>
      <c r="D40" s="14" t="inlineStr"/>
      <c r="E40" s="14" t="inlineStr">
        <is>
          <t>18:00–19:00</t>
        </is>
      </c>
      <c r="F40" s="5" t="inlineStr">
        <is>
          <t>Tuỳ chọn: Công viên Olympic – Tổ Chim, Water Cube lên đèn (ngắm ngoài)</t>
        </is>
      </c>
      <c r="G40" s="36" t="inlineStr"/>
      <c r="H40" s="5" t="inlineStr">
        <is>
          <t>Miễn phí</t>
        </is>
      </c>
    </row>
    <row r="41">
      <c r="A41" s="14" t="inlineStr">
        <is>
          <t>Ngày 7</t>
        </is>
      </c>
      <c r="B41" s="37">
        <f>ThamSo!$B$3+6</f>
        <v>46326</v>
      </c>
      <c r="C41" s="14" t="str">
        <f>CHOOSE(WEEKDAY(B41),"CN","T2","T3","T4","T5","T6","T7")</f>
        <v>T7</v>
      </c>
      <c r="D41" s="14" t="inlineStr"/>
      <c r="E41" s="14" t="inlineStr">
        <is>
          <t>19:30</t>
        </is>
      </c>
      <c r="F41" s="5" t="inlineStr">
        <is>
          <t>Ăn tối phố Guijie 簋街 (tôm hùm đất, lẩu) hoặc Sanlitun</t>
        </is>
      </c>
      <c r="G41" s="36" t="inlineStr"/>
      <c r="H41" s="5" t="inlineStr"/>
    </row>
    <row r="42">
      <c r="A42" s="3" t="inlineStr">
        <is>
          <t>Ngày 8</t>
        </is>
      </c>
      <c r="B42" s="37">
        <f>ThamSo!$B$3+7</f>
        <v>46327</v>
      </c>
      <c r="C42" s="14" t="str">
        <f>CHOOSE(WEEKDAY(B42),"CN","T2","T3","T4","T5","T6","T7")</f>
        <v>CN</v>
      </c>
      <c r="D42" s="3" t="inlineStr">
        <is>
          <t>Bắc Kinh</t>
        </is>
      </c>
      <c r="E42" s="14" t="inlineStr">
        <is>
          <t>07:30–09:30</t>
        </is>
      </c>
      <c r="F42" s="5" t="inlineStr">
        <is>
          <t>Thiên Đàn – sáng sớm dân địa phương tập thái cực</t>
        </is>
      </c>
      <c r="G42" s="38">
        <f>ThamSo!$B$41*ThamSo!$C$41</f>
        <v>28</v>
      </c>
      <c r="H42" s="5" t="inlineStr"/>
    </row>
    <row r="43">
      <c r="A43" s="14" t="inlineStr">
        <is>
          <t>Ngày 8</t>
        </is>
      </c>
      <c r="B43" s="37">
        <f>ThamSo!$B$3+7</f>
        <v>46327</v>
      </c>
      <c r="C43" s="14" t="str">
        <f>CHOOSE(WEEKDAY(B43),"CN","T2","T3","T4","T5","T6","T7")</f>
        <v>CN</v>
      </c>
      <c r="D43" s="14" t="inlineStr"/>
      <c r="E43" s="14" t="inlineStr">
        <is>
          <t>10:00–11:00</t>
        </is>
      </c>
      <c r="F43" s="5" t="inlineStr">
        <is>
          <t>[trend] Đại lộ ngân hạnh Diaoyutai (đường Sanlihe) – vàng rực cuối 10 đầu 11, đi sớm vì Chủ Nhật; hoặc Ditan Park</t>
        </is>
      </c>
      <c r="G43" s="38">
        <f>ThamSo!$B$42*ThamSo!$C$42</f>
        <v>10</v>
      </c>
      <c r="H43" s="5" t="inlineStr">
        <is>
          <t>Diaoyutai miễn phí; Ditan 10</t>
        </is>
      </c>
    </row>
    <row r="44">
      <c r="A44" s="14" t="inlineStr">
        <is>
          <t>Ngày 8</t>
        </is>
      </c>
      <c r="B44" s="37">
        <f>ThamSo!$B$3+7</f>
        <v>46327</v>
      </c>
      <c r="C44" s="14" t="str">
        <f>CHOOSE(WEEKDAY(B44),"CN","T2","T3","T4","T5","T6","T7")</f>
        <v>CN</v>
      </c>
      <c r="D44" s="14" t="inlineStr"/>
      <c r="E44" s="14" t="inlineStr">
        <is>
          <t>11:30–15:00</t>
        </is>
      </c>
      <c r="F44" s="5" t="inlineStr">
        <is>
          <t>Di Hòa Viên: Trường Lang, thuyền hồ Côn Minh, Phật Hương Các. Ăn trưa gần cổng Đông</t>
        </is>
      </c>
      <c r="G44" s="38">
        <f>ThamSo!$B$43*ThamSo!$C$43</f>
        <v>50</v>
      </c>
      <c r="H44" s="5" t="inlineStr"/>
    </row>
    <row r="45">
      <c r="A45" s="14" t="inlineStr">
        <is>
          <t>Ngày 8</t>
        </is>
      </c>
      <c r="B45" s="37">
        <f>ThamSo!$B$3+7</f>
        <v>46327</v>
      </c>
      <c r="C45" s="14" t="str">
        <f>CHOOSE(WEEKDAY(B45),"CN","T2","T3","T4","T5","T6","T7")</f>
        <v>CN</v>
      </c>
      <c r="D45" s="14" t="inlineStr"/>
      <c r="E45" s="14" t="inlineStr">
        <is>
          <t>15:30–17:00</t>
        </is>
      </c>
      <c r="F45" s="5" t="inlineStr">
        <is>
          <t>Tuỳ chọn: Hương Sơn mùa lá đỏ (cuối tuần 1–2/11 rất đông; chỉ đi nếu bản tin lá đỏ còn đẹp)</t>
        </is>
      </c>
      <c r="G45" s="38">
        <f>ThamSo!$B$44*ThamSo!$C$44</f>
        <v>0</v>
      </c>
      <c r="H45" s="5" t="inlineStr">
        <is>
          <t>Bật cột 'Tính' ở ThamSo nếu đi</t>
        </is>
      </c>
    </row>
    <row r="46">
      <c r="A46" s="14" t="inlineStr">
        <is>
          <t>Ngày 8</t>
        </is>
      </c>
      <c r="B46" s="37">
        <f>ThamSo!$B$3+7</f>
        <v>46327</v>
      </c>
      <c r="C46" s="14" t="str">
        <f>CHOOSE(WEEKDAY(B46),"CN","T2","T3","T4","T5","T6","T7")</f>
        <v>CN</v>
      </c>
      <c r="D46" s="14" t="inlineStr"/>
      <c r="E46" s="14" t="inlineStr">
        <is>
          <t>18:30</t>
        </is>
      </c>
      <c r="F46" s="5" t="inlineStr">
        <is>
          <t>[trend] Hậu Hải / Thập Sát Hải, Yandai Xiejie, Gulou Dongdajie – ăn tối ven hồ, cafe, bar</t>
        </is>
      </c>
      <c r="G46" s="36" t="inlineStr"/>
      <c r="H46" s="5" t="inlineStr">
        <is>
          <t>Đi Didi 2 xe + metro</t>
        </is>
      </c>
    </row>
    <row r="47">
      <c r="A47" s="3" t="inlineStr">
        <is>
          <t>Ngày 9</t>
        </is>
      </c>
      <c r="B47" s="37">
        <f>ThamSo!$B$3+8</f>
        <v>46328</v>
      </c>
      <c r="C47" s="14" t="str">
        <f>CHOOSE(WEEKDAY(B47),"CN","T2","T3","T4","T5","T6","T7")</f>
        <v>T2</v>
      </c>
      <c r="D47" s="3" t="inlineStr">
        <is>
          <t>Bắc Kinh</t>
        </is>
      </c>
      <c r="E47" s="14" t="inlineStr">
        <is>
          <t>09:00–10:30</t>
        </is>
      </c>
      <c r="F47" s="5" t="inlineStr">
        <is>
          <t>Ung Hòa Cung (Lama Temple) – đặt slot giờ trước bằng hộ chiếu (mở Thứ Hai)</t>
        </is>
      </c>
      <c r="G47" s="38">
        <f>ThamSo!$B$49*ThamSo!$C$49</f>
        <v>25</v>
      </c>
      <c r="H47" s="5" t="inlineStr"/>
    </row>
    <row r="48">
      <c r="A48" s="14" t="inlineStr">
        <is>
          <t>Ngày 9</t>
        </is>
      </c>
      <c r="B48" s="37">
        <f>ThamSo!$B$3+8</f>
        <v>46328</v>
      </c>
      <c r="C48" s="14" t="str">
        <f>CHOOSE(WEEKDAY(B48),"CN","T2","T3","T4","T5","T6","T7")</f>
        <v>T2</v>
      </c>
      <c r="D48" s="14" t="inlineStr"/>
      <c r="E48" s="14" t="inlineStr">
        <is>
          <t>10:30–12:30</t>
        </is>
      </c>
      <c r="F48" s="5" t="inlineStr">
        <is>
          <t>[trend] Wudaoying hutong – cafe, boutique trong tứ hợp viện (Metal Hands, Fú Dǐng rooftop), Quốc Tử Giám</t>
        </is>
      </c>
      <c r="G48" s="36" t="inlineStr"/>
      <c r="H48" s="5" t="inlineStr">
        <is>
          <t>Miễn phí</t>
        </is>
      </c>
    </row>
    <row r="49">
      <c r="A49" s="14" t="inlineStr">
        <is>
          <t>Ngày 9</t>
        </is>
      </c>
      <c r="B49" s="37">
        <f>ThamSo!$B$3+8</f>
        <v>46328</v>
      </c>
      <c r="C49" s="14" t="str">
        <f>CHOOSE(WEEKDAY(B49),"CN","T2","T3","T4","T5","T6","T7")</f>
        <v>T2</v>
      </c>
      <c r="D49" s="14" t="inlineStr"/>
      <c r="E49" s="14" t="inlineStr">
        <is>
          <t>12:30</t>
        </is>
      </c>
      <c r="F49" s="5" t="inlineStr">
        <is>
          <t>Ăn trưa khu Wudaoying</t>
        </is>
      </c>
      <c r="G49" s="36" t="inlineStr"/>
      <c r="H49" s="5" t="inlineStr"/>
    </row>
    <row r="50">
      <c r="A50" s="14" t="inlineStr">
        <is>
          <t>Ngày 9</t>
        </is>
      </c>
      <c r="B50" s="37">
        <f>ThamSo!$B$3+8</f>
        <v>46328</v>
      </c>
      <c r="C50" s="14" t="str">
        <f>CHOOSE(WEEKDAY(B50),"CN","T2","T3","T4","T5","T6","T7")</f>
        <v>T2</v>
      </c>
      <c r="D50" s="14" t="inlineStr"/>
      <c r="E50" s="14" t="inlineStr">
        <is>
          <t>14:00–17:00</t>
        </is>
      </c>
      <c r="F50" s="5" t="inlineStr">
        <is>
          <t>[trend] Qianmen + Beijing Fun 北京坊 + Dashilan – phố cổ cải tạo, Page One, Muji Hotel, cafe</t>
        </is>
      </c>
      <c r="G50" s="36" t="inlineStr"/>
      <c r="H50" s="5" t="inlineStr">
        <is>
          <t>Miễn phí; Tử Cấm Thành nghỉ Thứ Hai</t>
        </is>
      </c>
    </row>
    <row r="51">
      <c r="A51" s="14" t="inlineStr">
        <is>
          <t>Ngày 9</t>
        </is>
      </c>
      <c r="B51" s="37">
        <f>ThamSo!$B$3+8</f>
        <v>46328</v>
      </c>
      <c r="C51" s="14" t="str">
        <f>CHOOSE(WEEKDAY(B51),"CN","T2","T3","T4","T5","T6","T7")</f>
        <v>T2</v>
      </c>
      <c r="D51" s="14" t="inlineStr"/>
      <c r="E51" s="14" t="inlineStr">
        <is>
          <t>18:00</t>
        </is>
      </c>
      <c r="F51" s="5" t="inlineStr">
        <is>
          <t>Ăn tối Qianmen hoặc Vương Phủ Tỉnh</t>
        </is>
      </c>
      <c r="G51" s="36" t="inlineStr"/>
      <c r="H51" s="5" t="inlineStr"/>
    </row>
    <row r="52">
      <c r="A52" s="3" t="inlineStr">
        <is>
          <t>Ngày 10</t>
        </is>
      </c>
      <c r="B52" s="37">
        <f>ThamSo!$B$3+9</f>
        <v>46329</v>
      </c>
      <c r="C52" s="14" t="str">
        <f>CHOOSE(WEEKDAY(B52),"CN","T2","T3","T4","T5","T6","T7")</f>
        <v>T3</v>
      </c>
      <c r="D52" s="3" t="inlineStr">
        <is>
          <t>Bắc Kinh → bay đêm</t>
        </is>
      </c>
      <c r="E52" s="14" t="inlineStr">
        <is>
          <t>08:00</t>
        </is>
      </c>
      <c r="F52" s="5" t="inlineStr">
        <is>
          <t>Quảng trường Thiên An Môn slot sáng (WeChat 天安门广场预约参观, mở 1–9 ngày trước, hộ chiếu gốc)</t>
        </is>
      </c>
      <c r="G52" s="36" t="inlineStr"/>
      <c r="H52" s="5" t="inlineStr">
        <is>
          <t>Miễn phí</t>
        </is>
      </c>
    </row>
    <row r="53">
      <c r="A53" s="14" t="inlineStr">
        <is>
          <t>Ngày 10</t>
        </is>
      </c>
      <c r="B53" s="37">
        <f>ThamSo!$B$3+9</f>
        <v>46329</v>
      </c>
      <c r="C53" s="14" t="str">
        <f>CHOOSE(WEEKDAY(B53),"CN","T2","T3","T4","T5","T6","T7")</f>
        <v>T3</v>
      </c>
      <c r="D53" s="14" t="inlineStr"/>
      <c r="E53" s="14" t="inlineStr">
        <is>
          <t>09:00–12:30</t>
        </is>
      </c>
      <c r="F53" s="5" t="inlineStr">
        <is>
          <t>Tử Cấm Thành slot sáng (Thứ Ba, ít đông hơn cuối tuần). Mở bán 20:00 giờ Bắc Kinh 7 ngày trước, 1 vé/hộ chiếu. Ra cổng Bắc</t>
        </is>
      </c>
      <c r="G53" s="38">
        <f>ThamSo!$B$46*ThamSo!$C$46</f>
        <v>40</v>
      </c>
      <c r="H53" s="5" t="inlineStr">
        <is>
          <t>Trả phòng trước 12:00, gửi hành lý ở khách sạn</t>
        </is>
      </c>
    </row>
    <row r="54">
      <c r="A54" s="14" t="inlineStr">
        <is>
          <t>Ngày 10</t>
        </is>
      </c>
      <c r="B54" s="37">
        <f>ThamSo!$B$3+9</f>
        <v>46329</v>
      </c>
      <c r="C54" s="14" t="str">
        <f>CHOOSE(WEEKDAY(B54),"CN","T2","T3","T4","T5","T6","T7")</f>
        <v>T3</v>
      </c>
      <c r="D54" s="14" t="inlineStr"/>
      <c r="E54" s="14" t="inlineStr"/>
      <c r="F54" s="5" t="inlineStr">
        <is>
          <t>Trân Bảo Quán (trong Tử Cấm Thành)</t>
        </is>
      </c>
      <c r="G54" s="38">
        <f>ThamSo!$B$47*ThamSo!$C$47</f>
        <v>10</v>
      </c>
      <c r="H54" s="5" t="inlineStr"/>
    </row>
    <row r="55">
      <c r="A55" s="14" t="inlineStr">
        <is>
          <t>Ngày 10</t>
        </is>
      </c>
      <c r="B55" s="37">
        <f>ThamSo!$B$3+9</f>
        <v>46329</v>
      </c>
      <c r="C55" s="14" t="str">
        <f>CHOOSE(WEEKDAY(B55),"CN","T2","T3","T4","T5","T6","T7")</f>
        <v>T3</v>
      </c>
      <c r="D55" s="14" t="inlineStr"/>
      <c r="E55" s="14" t="inlineStr"/>
      <c r="F55" s="5" t="inlineStr">
        <is>
          <t>Chung Biểu Quán (trong Tử Cấm Thành)</t>
        </is>
      </c>
      <c r="G55" s="38">
        <f>ThamSo!$B$48*ThamSo!$C$48</f>
        <v>10</v>
      </c>
      <c r="H55" s="5" t="inlineStr"/>
    </row>
    <row r="56">
      <c r="A56" s="14" t="inlineStr">
        <is>
          <t>Ngày 10</t>
        </is>
      </c>
      <c r="B56" s="37">
        <f>ThamSo!$B$3+9</f>
        <v>46329</v>
      </c>
      <c r="C56" s="14" t="str">
        <f>CHOOSE(WEEKDAY(B56),"CN","T2","T3","T4","T5","T6","T7")</f>
        <v>T3</v>
      </c>
      <c r="D56" s="14" t="inlineStr"/>
      <c r="E56" s="14" t="inlineStr">
        <is>
          <t>12:45</t>
        </is>
      </c>
      <c r="F56" s="5" t="inlineStr">
        <is>
          <t>Ăn trưa gần Cảnh Sơn</t>
        </is>
      </c>
      <c r="G56" s="36" t="inlineStr"/>
      <c r="H56" s="5" t="inlineStr"/>
    </row>
    <row r="57">
      <c r="A57" s="14" t="inlineStr">
        <is>
          <t>Ngày 10</t>
        </is>
      </c>
      <c r="B57" s="37">
        <f>ThamSo!$B$3+9</f>
        <v>46329</v>
      </c>
      <c r="C57" s="14" t="str">
        <f>CHOOSE(WEEKDAY(B57),"CN","T2","T3","T4","T5","T6","T7")</f>
        <v>T3</v>
      </c>
      <c r="D57" s="14" t="inlineStr"/>
      <c r="E57" s="14" t="inlineStr">
        <is>
          <t>14:00–15:30</t>
        </is>
      </c>
      <c r="F57" s="5" t="inlineStr">
        <is>
          <t>Công viên Cảnh Sơn – toàn cảnh Tử Cấm Thành</t>
        </is>
      </c>
      <c r="G57" s="38">
        <f>ThamSo!$B$45*ThamSo!$C$45</f>
        <v>2</v>
      </c>
      <c r="H57" s="5" t="inlineStr"/>
    </row>
    <row r="58">
      <c r="A58" s="14" t="inlineStr">
        <is>
          <t>Ngày 10</t>
        </is>
      </c>
      <c r="B58" s="37">
        <f>ThamSo!$B$3+9</f>
        <v>46329</v>
      </c>
      <c r="C58" s="14" t="str">
        <f>CHOOSE(WEEKDAY(B58),"CN","T2","T3","T4","T5","T6","T7")</f>
        <v>T3</v>
      </c>
      <c r="D58" s="14" t="inlineStr"/>
      <c r="E58" s="14" t="inlineStr">
        <is>
          <t>16:00–18:00</t>
        </is>
      </c>
      <c r="F58" s="5" t="inlineStr">
        <is>
          <t>Nam La Cổ Hạng + hutong lân cận: xích lô, cafe, ăn vặt</t>
        </is>
      </c>
      <c r="G58" s="36" t="inlineStr"/>
      <c r="H58" s="5" t="inlineStr">
        <is>
          <t>Miễn phí</t>
        </is>
      </c>
    </row>
    <row r="59">
      <c r="A59" s="14" t="inlineStr">
        <is>
          <t>Ngày 10</t>
        </is>
      </c>
      <c r="B59" s="37">
        <f>ThamSo!$B$3+9</f>
        <v>46329</v>
      </c>
      <c r="C59" s="14" t="str">
        <f>CHOOSE(WEEKDAY(B59),"CN","T2","T3","T4","T5","T6","T7")</f>
        <v>T3</v>
      </c>
      <c r="D59" s="14" t="inlineStr"/>
      <c r="E59" s="14" t="inlineStr">
        <is>
          <t>18:00</t>
        </is>
      </c>
      <c r="F59" s="5" t="inlineStr">
        <is>
          <t>Ăn tối gần khách sạn</t>
        </is>
      </c>
      <c r="G59" s="36" t="inlineStr"/>
      <c r="H59" s="5" t="inlineStr"/>
    </row>
    <row r="60">
      <c r="A60" s="14" t="inlineStr">
        <is>
          <t>Ngày 10</t>
        </is>
      </c>
      <c r="B60" s="37">
        <f>ThamSo!$B$3+9</f>
        <v>46329</v>
      </c>
      <c r="C60" s="14" t="str">
        <f>CHOOSE(WEEKDAY(B60),"CN","T2","T3","T4","T5","T6","T7")</f>
        <v>T3</v>
      </c>
      <c r="D60" s="14" t="inlineStr"/>
      <c r="E60" s="14" t="inlineStr">
        <is>
          <t>21:00 / 21:30</t>
        </is>
      </c>
      <c r="F60" s="5" t="inlineStr">
        <is>
          <t>Lấy hành lý, cả 3 nhóm ra Đại Hưng (PKX): Didi ~1h hoặc Metro tới Caoqiao + Daxing Airport Express 35 CNY</t>
        </is>
      </c>
      <c r="G60" s="36" t="inlineStr"/>
      <c r="H60" s="5" t="inlineStr"/>
    </row>
    <row r="61">
      <c r="A61" s="14" t="inlineStr">
        <is>
          <t>Ngày 10</t>
        </is>
      </c>
      <c r="B61" s="37">
        <f>ThamSo!$B$3+9</f>
        <v>46329</v>
      </c>
      <c r="C61" s="14" t="str">
        <f>CHOOSE(WEEKDAY(B61),"CN","T2","T3","T4","T5","T6","T7")</f>
        <v>T3</v>
      </c>
      <c r="D61" s="14" t="inlineStr"/>
      <c r="E61" s="14" t="inlineStr">
        <is>
          <t>01:05 / 01:20</t>
        </is>
      </c>
      <c r="F61" s="5" t="inlineStr">
        <is>
          <t>Hôm sau: VJ3949 về SGN (nhóm SGN + Quảng Châu), VJ7713 về HAN</t>
        </is>
      </c>
      <c r="G61" s="36" t="inlineStr"/>
      <c r="H61" s="5" t="inlineStr">
        <is>
          <t>ThamSo dòng vé về</t>
        </is>
      </c>
    </row>
    <row r="63">
      <c r="A63" s="3" t="inlineStr">
        <is>
          <t>Tổng vé (CNY) trong lịch</t>
        </is>
      </c>
      <c r="G63" s="39">
        <f>SUM(G4:G61)</f>
        <v>1085</v>
      </c>
      <c r="H63" s="5" t="inlineStr">
        <is>
          <t>Bằng ThamSo tổng vé (dòng tắt cột 'Tính' = 0 tính bằng 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60" customWidth="1" min="4" max="4"/>
    <col width="30" customWidth="1" min="5" max="5"/>
  </cols>
  <sheetData>
    <row r="1">
      <c r="A1" s="1" t="inlineStr">
        <is>
          <t>DEADLINE ĐẶT VÉ – tự dời theo ThamSo!B3</t>
        </is>
      </c>
    </row>
    <row r="3">
      <c r="A3" s="8" t="inlineStr">
        <is>
          <t>Việc</t>
        </is>
      </c>
      <c r="B3" s="8" t="inlineStr">
        <is>
          <t>Ngày dùng</t>
        </is>
      </c>
      <c r="C3" s="8" t="inlineStr">
        <is>
          <t>Deadline</t>
        </is>
      </c>
      <c r="D3" s="8" t="inlineStr">
        <is>
          <t>Cách làm</t>
        </is>
      </c>
      <c r="E3" s="8" t="inlineStr">
        <is>
          <t>Ghi chú</t>
        </is>
      </c>
    </row>
    <row r="4">
      <c r="A4" s="3" t="inlineStr">
        <is>
          <t>Visa TQ loại L (nhóm cần visa)</t>
        </is>
      </c>
      <c r="B4" s="37">
        <f>ThamSo!$B$3</f>
        <v>46320</v>
      </c>
      <c r="C4" s="40">
        <f>ThamSo!$B$3-15</f>
        <v>46305</v>
      </c>
      <c r="D4" s="5" t="inlineStr">
        <is>
          <t>Form visaforchina.cn → nộp CVASC Hà Nội (Trang An Complex, Phùng Chí Kiên) / TP.HCM (Saigon Trade Center, Tôn Đức Thắng), sáng ngày làm việc</t>
        </is>
      </c>
      <c r="E4" s="5" t="inlineStr">
        <is>
          <t>~4 ngày làm việc</t>
        </is>
      </c>
    </row>
    <row r="5">
      <c r="A5" s="3" t="inlineStr">
        <is>
          <t>Vé quốc tế đi + về, khách sạn</t>
        </is>
      </c>
      <c r="B5" s="37">
        <f>ThamSo!$B$3</f>
        <v>46320</v>
      </c>
      <c r="C5" s="40">
        <f>TODAY()</f>
        <v>46288</v>
      </c>
      <c r="D5" s="5" t="inlineStr">
        <is>
          <t>Web hãng / Trip.com / Agoda; lọc khách sạn nhận khách nước ngoài, huỷ miễn phí</t>
        </is>
      </c>
      <c r="E5" s="5" t="inlineStr">
        <is>
          <t>Ngay khi chốt</t>
        </is>
      </c>
    </row>
    <row r="6">
      <c r="A6" s="3" t="inlineStr">
        <is>
          <t>Vé tàu Guangzhou South → Futian</t>
        </is>
      </c>
      <c r="B6" s="37">
        <f>ThamSo!$B$3+0</f>
        <v>46320</v>
      </c>
      <c r="C6" s="40">
        <f>ThamSo!$B$3+0-14</f>
        <v>46306</v>
      </c>
      <c r="D6" s="5" t="inlineStr">
        <is>
          <t>12306 (mở bán 15 ngày trước)</t>
        </is>
      </c>
      <c r="E6" s="5" t="inlineStr">
        <is>
          <t>Nhóm Quảng Châu</t>
        </is>
      </c>
    </row>
    <row r="7">
      <c r="A7" s="3" t="inlineStr">
        <is>
          <t>Ping An Free Sky</t>
        </is>
      </c>
      <c r="B7" s="37">
        <f>ThamSo!$B$3+1</f>
        <v>46321</v>
      </c>
      <c r="C7" s="40">
        <f>ThamSo!$B$3+1-1</f>
        <v>46320</v>
      </c>
      <c r="D7" s="5" t="inlineStr">
        <is>
          <t>Trip.com / Klook</t>
        </is>
      </c>
      <c r="E7" s="5" t="inlineStr"/>
    </row>
    <row r="8">
      <c r="A8" s="3" t="inlineStr">
        <is>
          <t>Impression West Lake</t>
        </is>
      </c>
      <c r="B8" s="37">
        <f>ThamSo!$B$3+3</f>
        <v>46323</v>
      </c>
      <c r="C8" s="40">
        <f>ThamSo!$B$3+3-14</f>
        <v>46309</v>
      </c>
      <c r="D8" s="5" t="inlineStr">
        <is>
          <t>Trip.com / Klook / gotohangzhou.com</t>
        </is>
      </c>
      <c r="E8" s="5" t="inlineStr">
        <is>
          <t>Hay cháy vé</t>
        </is>
      </c>
    </row>
    <row r="9">
      <c r="A9" s="3" t="inlineStr">
        <is>
          <t>Tàu Hangzhou East → Beijing South</t>
        </is>
      </c>
      <c r="B9" s="37">
        <f>ThamSo!$B$3+5</f>
        <v>46325</v>
      </c>
      <c r="C9" s="40">
        <f>ThamSo!$B$3+5-14</f>
        <v>46311</v>
      </c>
      <c r="D9" s="5" t="inlineStr">
        <is>
          <t>12306 bằng hộ chiếu, hoặc Trip.com pre-order</t>
        </is>
      </c>
      <c r="E9" s="5" t="inlineStr">
        <is>
          <t>Mở bán 15 ngày trước</t>
        </is>
      </c>
    </row>
    <row r="10">
      <c r="A10" s="3" t="inlineStr">
        <is>
          <t>Thiên An Môn (mở đặt từ)</t>
        </is>
      </c>
      <c r="B10" s="37">
        <f>ThamSo!$B$3+9</f>
        <v>46329</v>
      </c>
      <c r="C10" s="40">
        <f>ThamSo!$B$3+9-9</f>
        <v>46320</v>
      </c>
      <c r="D10" s="5" t="inlineStr">
        <is>
          <t>WeChat mini-program 天安门广场预约参观 (1–9 ngày trước)</t>
        </is>
      </c>
      <c r="E10" s="5" t="inlineStr">
        <is>
          <t>Miễn phí, hộ chiếu gốc</t>
        </is>
      </c>
    </row>
    <row r="11">
      <c r="A11" s="3" t="inlineStr">
        <is>
          <t>Tử Cấm Thành (mở bán 20:00 giờ Bắc Kinh)</t>
        </is>
      </c>
      <c r="B11" s="37">
        <f>ThamSo!$B$3+9</f>
        <v>46329</v>
      </c>
      <c r="C11" s="40">
        <f>ThamSo!$B$3+9-7</f>
        <v>46322</v>
      </c>
      <c r="D11" s="5" t="inlineStr">
        <is>
          <t>WeChat mini-program 故宫博物院 / web Palace Museum; 1 vé/hộ chiếu, slot sáng</t>
        </is>
      </c>
      <c r="E11" s="5" t="inlineStr">
        <is>
          <t>19:00 giờ VN</t>
        </is>
      </c>
    </row>
    <row r="12">
      <c r="A12" s="3" t="inlineStr">
        <is>
          <t>Mutianyu + xe 14 chỗ</t>
        </is>
      </c>
      <c r="B12" s="37">
        <f>ThamSo!$B$3+6</f>
        <v>46326</v>
      </c>
      <c r="C12" s="40">
        <f>ThamSo!$B$3+6-7</f>
        <v>46319</v>
      </c>
      <c r="D12" s="5" t="inlineStr">
        <is>
          <t>Trip.com / en.mutianyugreatwall.com; xe qua Klook / TravelChinaGuide</t>
        </is>
      </c>
      <c r="E12" s="5" t="inlineStr">
        <is>
          <t>Hộ chiếu đúng tên</t>
        </is>
      </c>
    </row>
    <row r="13">
      <c r="A13" s="3" t="inlineStr">
        <is>
          <t>Ung Hòa Cung (slot giờ)</t>
        </is>
      </c>
      <c r="B13" s="37">
        <f>ThamSo!$B$3+8</f>
        <v>46328</v>
      </c>
      <c r="C13" s="40">
        <f>ThamSo!$B$3+8-3</f>
        <v>46325</v>
      </c>
      <c r="D13" s="5" t="inlineStr">
        <is>
          <t>Đặt online, bắt buộc từ 2026</t>
        </is>
      </c>
      <c r="E1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20" customWidth="1" min="4" max="4"/>
    <col width="20" customWidth="1" min="5" max="5"/>
    <col width="60" customWidth="1" min="6" max="6"/>
  </cols>
  <sheetData>
    <row r="1">
      <c r="A1" s="1" t="inlineStr">
        <is>
          <t>CHI PHÍ DỰ KIẾN – nhóm HN (VND). Toàn bộ là công thức, sửa ở sheet ThamSo.</t>
        </is>
      </c>
    </row>
    <row r="2">
      <c r="A2" s="3" t="inlineStr">
        <is>
          <t>Số người</t>
        </is>
      </c>
      <c r="B2" s="17">
        <f>ThamSo!$B$9</f>
        <v>2</v>
      </c>
    </row>
    <row r="3">
      <c r="A3" s="3" t="inlineStr">
        <is>
          <t>Số phòng</t>
        </is>
      </c>
      <c r="B3" s="17">
        <f>ThamSo!$C$9</f>
        <v>1</v>
      </c>
    </row>
    <row r="4">
      <c r="A4" s="3" t="inlineStr">
        <is>
          <t>Cần visa (1/0)</t>
        </is>
      </c>
      <c r="B4" s="17">
        <f>ThamSo!$D$9</f>
        <v>1</v>
      </c>
    </row>
    <row r="6">
      <c r="A6" s="8" t="inlineStr">
        <is>
          <t>Khoản</t>
        </is>
      </c>
      <c r="B6" s="8" t="inlineStr">
        <is>
          <t>Số lượng</t>
        </is>
      </c>
      <c r="C6" s="8" t="inlineStr">
        <is>
          <t>Đơn giá (VND)</t>
        </is>
      </c>
      <c r="D6" s="8" t="inlineStr">
        <is>
          <t>Thành tiền / người (VND)</t>
        </is>
      </c>
      <c r="E6" s="8" t="inlineStr">
        <is>
          <t>Cả nhóm (VND)</t>
        </is>
      </c>
      <c r="F6" s="8" t="inlineStr">
        <is>
          <t>Cách tính / ghi chú</t>
        </is>
      </c>
    </row>
    <row r="7">
      <c r="A7" s="14" t="inlineStr">
        <is>
          <t>Visa Trung Quốc loại L</t>
        </is>
      </c>
      <c r="B7" s="41">
        <f>$B$4</f>
        <v>1</v>
      </c>
      <c r="C7" s="29">
        <f>ThamSo!$B$59*ThamSo!$B$5+ThamSo!$B$60</f>
        <v>2257600</v>
      </c>
      <c r="D7" s="29">
        <f>B7*C7</f>
        <v>2257600</v>
      </c>
      <c r="E7" s="29">
        <f>D7*$B$2</f>
        <v>4515200</v>
      </c>
      <c r="F7" s="5" t="inlineStr">
        <is>
          <t>Phí lãnh sự (USD) + phí dịch vụ CVASC; = 0 nếu nhóm không cần visa</t>
        </is>
      </c>
    </row>
    <row r="8">
      <c r="A8" s="14" t="inlineStr">
        <is>
          <t>Vé đi (tới Thâm Quyến)</t>
        </is>
      </c>
      <c r="B8" s="42" t="n">
        <v>1</v>
      </c>
      <c r="C8" s="29">
        <f>IF(ThamSo!$C$23="CNY",ThamSo!$B$23*ThamSo!$B$4,IF(ThamSo!$C$23="USD",ThamSo!$B$23*ThamSo!$B$5,ThamSo!$B$23))</f>
        <v>3931500</v>
      </c>
      <c r="D8" s="29">
        <f>B8*C8</f>
        <v>3931500</v>
      </c>
      <c r="E8" s="29">
        <f>D8*$B$2</f>
        <v>7863000</v>
      </c>
      <c r="F8" s="5" t="inlineStr">
        <is>
          <t>ThamSo dòng vé đi của nhóm</t>
        </is>
      </c>
    </row>
    <row r="9">
      <c r="A9" s="14" t="inlineStr">
        <is>
          <t>Vé về (Vietjet từ Đại Hưng)</t>
        </is>
      </c>
      <c r="B9" s="42" t="n">
        <v>1</v>
      </c>
      <c r="C9" s="29">
        <f>IF(ThamSo!$C$26="CNY",ThamSo!$B$26*ThamSo!$B$4,IF(ThamSo!$C$26="USD",ThamSo!$B$26*ThamSo!$B$5,ThamSo!$B$26))</f>
        <v>3196000</v>
      </c>
      <c r="D9" s="29">
        <f>B9*C9</f>
        <v>3196000</v>
      </c>
      <c r="E9" s="29">
        <f>D9*$B$2</f>
        <v>6392000</v>
      </c>
      <c r="F9" s="5" t="inlineStr">
        <is>
          <t>ThamSo dòng vé về của nhóm</t>
        </is>
      </c>
    </row>
    <row r="10">
      <c r="A10" s="14" t="inlineStr">
        <is>
          <t>Hành lý ký gửi Vietjet 20 kg</t>
        </is>
      </c>
      <c r="B10" s="42" t="n">
        <v>1</v>
      </c>
      <c r="C10" s="29">
        <f>IF(ThamSo!$C$28="CNY",ThamSo!$B$28*ThamSo!$B$4,IF(ThamSo!$C$28="USD",ThamSo!$B$28*ThamSo!$B$5,ThamSo!$B$28))</f>
        <v>450000</v>
      </c>
      <c r="D10" s="29">
        <f>B10*C10</f>
        <v>450000</v>
      </c>
      <c r="E10" s="29">
        <f>D10*$B$2</f>
        <v>900000</v>
      </c>
      <c r="F10" s="5" t="inlineStr">
        <is>
          <t>Về 0 nếu vé đã kèm 20 kg</t>
        </is>
      </c>
    </row>
    <row r="11">
      <c r="A11" s="14" t="inlineStr">
        <is>
          <t>Bay SZX → HGH</t>
        </is>
      </c>
      <c r="B11" s="42" t="n">
        <v>1</v>
      </c>
      <c r="C11" s="29">
        <f>IF(ThamSo!$C$29="CNY",ThamSo!$B$29*ThamSo!$B$4,IF(ThamSo!$C$29="USD",ThamSo!$B$29*ThamSo!$B$5,ThamSo!$B$29))</f>
        <v>2358150</v>
      </c>
      <c r="D11" s="29">
        <f>B11*C11</f>
        <v>2358150</v>
      </c>
      <c r="E11" s="29">
        <f>D11*$B$2</f>
        <v>4716300</v>
      </c>
      <c r="F11" s="5" t="inlineStr">
        <is>
          <t>Eco nội địa kèm 20 kg</t>
        </is>
      </c>
    </row>
    <row r="12">
      <c r="A12" s="14" t="inlineStr">
        <is>
          <t>Tàu Hangzhou East → Beijing South</t>
        </is>
      </c>
      <c r="B12" s="42" t="n">
        <v>1</v>
      </c>
      <c r="C12" s="29">
        <f>IF(ThamSo!$C$30="CNY",ThamSo!$B$30*ThamSo!$B$4,IF(ThamSo!$C$30="USD",ThamSo!$B$30*ThamSo!$B$5,ThamSo!$B$30))</f>
        <v>2054000</v>
      </c>
      <c r="D12" s="29">
        <f>B12*C12</f>
        <v>2054000</v>
      </c>
      <c r="E12" s="29">
        <f>D12*$B$2</f>
        <v>4108000</v>
      </c>
      <c r="F12" s="5" t="inlineStr">
        <is>
          <t>Hạng 2</t>
        </is>
      </c>
    </row>
    <row r="13">
      <c r="A13" s="14" t="inlineStr">
        <is>
          <t>Khách sạn Thâm Quyến</t>
        </is>
      </c>
      <c r="B13" s="41">
        <f>ThamSo!$B$15</f>
        <v>3</v>
      </c>
      <c r="C13" s="29">
        <f>ThamSo!$C$15*ThamSo!$B$4*$B$3/$B$2</f>
        <v>691250</v>
      </c>
      <c r="D13" s="29">
        <f>B13*C13</f>
        <v>2073750</v>
      </c>
      <c r="E13" s="29">
        <f>D13*$B$2</f>
        <v>4147500</v>
      </c>
      <c r="F13" s="5" t="inlineStr">
        <is>
          <t>Số đêm × giá phòng × số phòng ÷ số người</t>
        </is>
      </c>
    </row>
    <row r="14">
      <c r="A14" s="14" t="inlineStr">
        <is>
          <t>Khách sạn Hàng Châu</t>
        </is>
      </c>
      <c r="B14" s="41">
        <f>ThamSo!$B$16</f>
        <v>3</v>
      </c>
      <c r="C14" s="29">
        <f>ThamSo!$C$16*ThamSo!$B$4*$B$3/$B$2</f>
        <v>750500</v>
      </c>
      <c r="D14" s="29">
        <f>B14*C14</f>
        <v>2251500</v>
      </c>
      <c r="E14" s="29">
        <f>D14*$B$2</f>
        <v>4503000</v>
      </c>
      <c r="F14" s="5" t="inlineStr">
        <is>
          <t>Số đêm × giá phòng × số phòng ÷ số người</t>
        </is>
      </c>
    </row>
    <row r="15">
      <c r="A15" s="14" t="inlineStr">
        <is>
          <t>Khách sạn Bắc Kinh</t>
        </is>
      </c>
      <c r="B15" s="41">
        <f>ThamSo!$B$17</f>
        <v>4</v>
      </c>
      <c r="C15" s="29">
        <f>ThamSo!$C$17*ThamSo!$B$4*$B$3/$B$2</f>
        <v>790000</v>
      </c>
      <c r="D15" s="29">
        <f>B15*C15</f>
        <v>3160000</v>
      </c>
      <c r="E15" s="29">
        <f>D15*$B$2</f>
        <v>6320000</v>
      </c>
      <c r="F15" s="5" t="inlineStr">
        <is>
          <t>Số đêm × giá phòng × số phòng ÷ số người</t>
        </is>
      </c>
    </row>
    <row r="16">
      <c r="A16" s="14" t="inlineStr">
        <is>
          <t>Vé tham quan (theo bảng ThamSo)</t>
        </is>
      </c>
      <c r="B16" s="42" t="n">
        <v>1</v>
      </c>
      <c r="C16" s="29">
        <f>ThamSo!$B$50*ThamSo!$B$4</f>
        <v>4285750</v>
      </c>
      <c r="D16" s="29">
        <f>B16*C16</f>
        <v>4285750</v>
      </c>
      <c r="E16" s="29">
        <f>D16*$B$2</f>
        <v>8571500</v>
      </c>
      <c r="F16" s="5" t="inlineStr">
        <is>
          <t>Chỉ tính dòng có cột 'Tính' = 1</t>
        </is>
      </c>
    </row>
    <row r="17">
      <c r="A17" s="14" t="inlineStr">
        <is>
          <t>Xe 14 chỗ ngày Trường Thành (chia đều)</t>
        </is>
      </c>
      <c r="B17" s="42" t="n">
        <v>1</v>
      </c>
      <c r="C17" s="29">
        <f>ThamSo!$B$53*ThamSo!$B$4/ThamSo!$B$12</f>
        <v>592500</v>
      </c>
      <c r="D17" s="29">
        <f>B17*C17</f>
        <v>592500</v>
      </c>
      <c r="E17" s="29">
        <f>D17*$B$2</f>
        <v>1185000</v>
      </c>
      <c r="F17" s="5" t="inlineStr">
        <is>
          <t>Cả xe ÷ tổng số người cả đoàn</t>
        </is>
      </c>
    </row>
    <row r="18">
      <c r="A18" s="14" t="inlineStr">
        <is>
          <t>Đi lại nội thành</t>
        </is>
      </c>
      <c r="B18" s="41">
        <f>ThamSo!$B$19</f>
        <v>11</v>
      </c>
      <c r="C18" s="29">
        <f>ThamSo!$B$54*ThamSo!$B$4</f>
        <v>237000</v>
      </c>
      <c r="D18" s="29">
        <f>B18*C18</f>
        <v>2607000</v>
      </c>
      <c r="E18" s="29">
        <f>D18*$B$2</f>
        <v>5214000</v>
      </c>
      <c r="F18" s="5" t="inlineStr">
        <is>
          <t>Số ngày tour × đơn giá/ngày</t>
        </is>
      </c>
    </row>
    <row r="19">
      <c r="A19" s="14" t="inlineStr">
        <is>
          <t>Transfer sân bay, ga</t>
        </is>
      </c>
      <c r="B19" s="42" t="n">
        <v>1</v>
      </c>
      <c r="C19" s="29">
        <f>ThamSo!$B$55*ThamSo!$B$4</f>
        <v>592500</v>
      </c>
      <c r="D19" s="29">
        <f>B19*C19</f>
        <v>592500</v>
      </c>
      <c r="E19" s="29">
        <f>D19*$B$2</f>
        <v>1185000</v>
      </c>
      <c r="F19" s="5" t="inlineStr">
        <is>
          <t>Cả chuyến</t>
        </is>
      </c>
    </row>
    <row r="20">
      <c r="A20" s="14" t="inlineStr">
        <is>
          <t>Ăn uống</t>
        </is>
      </c>
      <c r="B20" s="41">
        <f>ThamSo!$B$19</f>
        <v>11</v>
      </c>
      <c r="C20" s="29">
        <f>ThamSo!$B$56*ThamSo!$B$4</f>
        <v>711000</v>
      </c>
      <c r="D20" s="29">
        <f>B20*C20</f>
        <v>7821000</v>
      </c>
      <c r="E20" s="29">
        <f>D20*$B$2</f>
        <v>15642000</v>
      </c>
      <c r="F20" s="5" t="inlineStr">
        <is>
          <t>Số ngày tour × đơn giá/ngày</t>
        </is>
      </c>
    </row>
    <row r="21">
      <c r="A21" s="14" t="inlineStr">
        <is>
          <t>eSIM</t>
        </is>
      </c>
      <c r="B21" s="42" t="n">
        <v>1</v>
      </c>
      <c r="C21" s="29">
        <f>ThamSo!$B$57*ThamSo!$B$5</f>
        <v>445570</v>
      </c>
      <c r="D21" s="29">
        <f>B21*C21</f>
        <v>445570</v>
      </c>
      <c r="E21" s="29">
        <f>D21*$B$2</f>
        <v>891140</v>
      </c>
      <c r="F21" s="5" t="inlineStr">
        <is>
          <t>10 ngày</t>
        </is>
      </c>
    </row>
    <row r="22">
      <c r="A22" s="14" t="inlineStr">
        <is>
          <t>Bảo hiểm du lịch</t>
        </is>
      </c>
      <c r="B22" s="42" t="n">
        <v>1</v>
      </c>
      <c r="C22" s="29">
        <f>ThamSo!$B$58</f>
        <v>0</v>
      </c>
      <c r="D22" s="29">
        <f>B22*C22</f>
        <v>0</v>
      </c>
      <c r="E22" s="29">
        <f>D22*$B$2</f>
        <v>0</v>
      </c>
      <c r="F22" s="5" t="inlineStr">
        <is>
          <t>Tuỳ chọn</t>
        </is>
      </c>
    </row>
    <row r="23">
      <c r="A23" s="3" t="inlineStr">
        <is>
          <t>TỔNG (chưa dự phòng)</t>
        </is>
      </c>
      <c r="B23" s="3" t="inlineStr"/>
      <c r="C23" s="3" t="inlineStr"/>
      <c r="D23" s="31">
        <f>SUM(D7:D22)</f>
        <v/>
      </c>
      <c r="E23" s="31">
        <f>SUM(E7:E22)</f>
        <v>76153640</v>
      </c>
      <c r="F23" s="14" t="inlineStr">
        <is>
          <t>Chưa gồm mua sắm</t>
        </is>
      </c>
    </row>
    <row r="24">
      <c r="A24" s="3" t="inlineStr">
        <is>
          <t>Dự phòng</t>
        </is>
      </c>
      <c r="D24" s="29">
        <f>D23*ThamSo!$B$6</f>
        <v>3807682</v>
      </c>
      <c r="E24" s="29">
        <f>E23*ThamSo!$B$6</f>
        <v>7615364</v>
      </c>
      <c r="F24" s="14" t="inlineStr">
        <is>
          <t>Tỷ lệ ở ThamSo!B6</t>
        </is>
      </c>
    </row>
    <row r="25">
      <c r="A25" s="3" t="inlineStr">
        <is>
          <t>TỔNG CÓ DỰ PHÒNG</t>
        </is>
      </c>
      <c r="D25" s="20">
        <f>D23+D24</f>
        <v>41884502</v>
      </c>
      <c r="E25" s="20">
        <f>E23+E24</f>
        <v>83769004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20" customWidth="1" min="4" max="4"/>
    <col width="20" customWidth="1" min="5" max="5"/>
    <col width="60" customWidth="1" min="6" max="6"/>
  </cols>
  <sheetData>
    <row r="1">
      <c r="A1" s="1" t="inlineStr">
        <is>
          <t>CHI PHÍ DỰ KIẾN – nhóm SGN (VND). Toàn bộ là công thức, sửa ở sheet ThamSo.</t>
        </is>
      </c>
    </row>
    <row r="2">
      <c r="A2" s="3" t="inlineStr">
        <is>
          <t>Số người</t>
        </is>
      </c>
      <c r="B2" s="17">
        <f>ThamSo!$B$10</f>
        <v>4</v>
      </c>
    </row>
    <row r="3">
      <c r="A3" s="3" t="inlineStr">
        <is>
          <t>Số phòng</t>
        </is>
      </c>
      <c r="B3" s="17">
        <f>ThamSo!$C$10</f>
        <v>2</v>
      </c>
    </row>
    <row r="4">
      <c r="A4" s="3" t="inlineStr">
        <is>
          <t>Cần visa (1/0)</t>
        </is>
      </c>
      <c r="B4" s="17">
        <f>ThamSo!$D$10</f>
        <v>1</v>
      </c>
    </row>
    <row r="6">
      <c r="A6" s="8" t="inlineStr">
        <is>
          <t>Khoản</t>
        </is>
      </c>
      <c r="B6" s="8" t="inlineStr">
        <is>
          <t>Số lượng</t>
        </is>
      </c>
      <c r="C6" s="8" t="inlineStr">
        <is>
          <t>Đơn giá (VND)</t>
        </is>
      </c>
      <c r="D6" s="8" t="inlineStr">
        <is>
          <t>Thành tiền / người (VND)</t>
        </is>
      </c>
      <c r="E6" s="8" t="inlineStr">
        <is>
          <t>Cả nhóm (VND)</t>
        </is>
      </c>
      <c r="F6" s="8" t="inlineStr">
        <is>
          <t>Cách tính / ghi chú</t>
        </is>
      </c>
    </row>
    <row r="7">
      <c r="A7" s="14" t="inlineStr">
        <is>
          <t>Visa Trung Quốc loại L</t>
        </is>
      </c>
      <c r="B7" s="41">
        <f>$B$4</f>
        <v>1</v>
      </c>
      <c r="C7" s="29">
        <f>ThamSo!$B$59*ThamSo!$B$5+ThamSo!$B$60</f>
        <v>2257600</v>
      </c>
      <c r="D7" s="29">
        <f>B7*C7</f>
        <v>2257600</v>
      </c>
      <c r="E7" s="29">
        <f>D7*$B$2</f>
        <v>9030400</v>
      </c>
      <c r="F7" s="5" t="inlineStr">
        <is>
          <t>Phí lãnh sự (USD) + phí dịch vụ CVASC; = 0 nếu nhóm không cần visa</t>
        </is>
      </c>
    </row>
    <row r="8">
      <c r="A8" s="14" t="inlineStr">
        <is>
          <t>Vé đi (tới Thâm Quyến)</t>
        </is>
      </c>
      <c r="B8" s="42" t="n">
        <v>1</v>
      </c>
      <c r="C8" s="29">
        <f>IF(ThamSo!$C$24="CNY",ThamSo!$B$24*ThamSo!$B$4,IF(ThamSo!$C$24="USD",ThamSo!$B$24*ThamSo!$B$5,ThamSo!$B$24))</f>
        <v>1913330</v>
      </c>
      <c r="D8" s="29">
        <f>B8*C8</f>
        <v>1913330</v>
      </c>
      <c r="E8" s="29">
        <f>D8*$B$2</f>
        <v>7653320</v>
      </c>
      <c r="F8" s="5" t="inlineStr">
        <is>
          <t>ThamSo dòng vé đi của nhóm</t>
        </is>
      </c>
    </row>
    <row r="9">
      <c r="A9" s="14" t="inlineStr">
        <is>
          <t>Vé về (Vietjet từ Đại Hưng)</t>
        </is>
      </c>
      <c r="B9" s="42" t="n">
        <v>1</v>
      </c>
      <c r="C9" s="29">
        <f>IF(ThamSo!$C$27="CNY",ThamSo!$B$27*ThamSo!$B$4,IF(ThamSo!$C$27="USD",ThamSo!$B$27*ThamSo!$B$5,ThamSo!$B$27))</f>
        <v>4164000</v>
      </c>
      <c r="D9" s="29">
        <f>B9*C9</f>
        <v>4164000</v>
      </c>
      <c r="E9" s="29">
        <f>D9*$B$2</f>
        <v>16656000</v>
      </c>
      <c r="F9" s="5" t="inlineStr">
        <is>
          <t>ThamSo dòng vé về của nhóm</t>
        </is>
      </c>
    </row>
    <row r="10">
      <c r="A10" s="14" t="inlineStr">
        <is>
          <t>Hành lý ký gửi Vietjet 20 kg</t>
        </is>
      </c>
      <c r="B10" s="42" t="n">
        <v>1</v>
      </c>
      <c r="C10" s="29">
        <f>IF(ThamSo!$C$28="CNY",ThamSo!$B$28*ThamSo!$B$4,IF(ThamSo!$C$28="USD",ThamSo!$B$28*ThamSo!$B$5,ThamSo!$B$28))</f>
        <v>450000</v>
      </c>
      <c r="D10" s="29">
        <f>B10*C10</f>
        <v>450000</v>
      </c>
      <c r="E10" s="29">
        <f>D10*$B$2</f>
        <v>1800000</v>
      </c>
      <c r="F10" s="5" t="inlineStr">
        <is>
          <t>Về 0 nếu vé đã kèm 20 kg</t>
        </is>
      </c>
    </row>
    <row r="11">
      <c r="A11" s="14" t="inlineStr">
        <is>
          <t>Bay SZX → HGH</t>
        </is>
      </c>
      <c r="B11" s="42" t="n">
        <v>1</v>
      </c>
      <c r="C11" s="29">
        <f>IF(ThamSo!$C$29="CNY",ThamSo!$B$29*ThamSo!$B$4,IF(ThamSo!$C$29="USD",ThamSo!$B$29*ThamSo!$B$5,ThamSo!$B$29))</f>
        <v>2358150</v>
      </c>
      <c r="D11" s="29">
        <f>B11*C11</f>
        <v>2358150</v>
      </c>
      <c r="E11" s="29">
        <f>D11*$B$2</f>
        <v>9432600</v>
      </c>
      <c r="F11" s="5" t="inlineStr">
        <is>
          <t>Eco nội địa kèm 20 kg</t>
        </is>
      </c>
    </row>
    <row r="12">
      <c r="A12" s="14" t="inlineStr">
        <is>
          <t>Tàu Hangzhou East → Beijing South</t>
        </is>
      </c>
      <c r="B12" s="42" t="n">
        <v>1</v>
      </c>
      <c r="C12" s="29">
        <f>IF(ThamSo!$C$30="CNY",ThamSo!$B$30*ThamSo!$B$4,IF(ThamSo!$C$30="USD",ThamSo!$B$30*ThamSo!$B$5,ThamSo!$B$30))</f>
        <v>2054000</v>
      </c>
      <c r="D12" s="29">
        <f>B12*C12</f>
        <v>2054000</v>
      </c>
      <c r="E12" s="29">
        <f>D12*$B$2</f>
        <v>8216000</v>
      </c>
      <c r="F12" s="5" t="inlineStr">
        <is>
          <t>Hạng 2</t>
        </is>
      </c>
    </row>
    <row r="13">
      <c r="A13" s="14" t="inlineStr">
        <is>
          <t>Khách sạn Thâm Quyến</t>
        </is>
      </c>
      <c r="B13" s="41">
        <f>ThamSo!$B$15</f>
        <v>3</v>
      </c>
      <c r="C13" s="29">
        <f>ThamSo!$C$15*ThamSo!$B$4*$B$3/$B$2</f>
        <v>691250</v>
      </c>
      <c r="D13" s="29">
        <f>B13*C13</f>
        <v>2073750</v>
      </c>
      <c r="E13" s="29">
        <f>D13*$B$2</f>
        <v>8295000</v>
      </c>
      <c r="F13" s="5" t="inlineStr">
        <is>
          <t>Số đêm × giá phòng × số phòng ÷ số người</t>
        </is>
      </c>
    </row>
    <row r="14">
      <c r="A14" s="14" t="inlineStr">
        <is>
          <t>Khách sạn Hàng Châu</t>
        </is>
      </c>
      <c r="B14" s="41">
        <f>ThamSo!$B$16</f>
        <v>3</v>
      </c>
      <c r="C14" s="29">
        <f>ThamSo!$C$16*ThamSo!$B$4*$B$3/$B$2</f>
        <v>750500</v>
      </c>
      <c r="D14" s="29">
        <f>B14*C14</f>
        <v>2251500</v>
      </c>
      <c r="E14" s="29">
        <f>D14*$B$2</f>
        <v>9006000</v>
      </c>
      <c r="F14" s="5" t="inlineStr">
        <is>
          <t>Số đêm × giá phòng × số phòng ÷ số người</t>
        </is>
      </c>
    </row>
    <row r="15">
      <c r="A15" s="14" t="inlineStr">
        <is>
          <t>Khách sạn Bắc Kinh</t>
        </is>
      </c>
      <c r="B15" s="41">
        <f>ThamSo!$B$17</f>
        <v>4</v>
      </c>
      <c r="C15" s="29">
        <f>ThamSo!$C$17*ThamSo!$B$4*$B$3/$B$2</f>
        <v>790000</v>
      </c>
      <c r="D15" s="29">
        <f>B15*C15</f>
        <v>3160000</v>
      </c>
      <c r="E15" s="29">
        <f>D15*$B$2</f>
        <v>12640000</v>
      </c>
      <c r="F15" s="5" t="inlineStr">
        <is>
          <t>Số đêm × giá phòng × số phòng ÷ số người</t>
        </is>
      </c>
    </row>
    <row r="16">
      <c r="A16" s="14" t="inlineStr">
        <is>
          <t>Vé tham quan (theo bảng ThamSo)</t>
        </is>
      </c>
      <c r="B16" s="42" t="n">
        <v>1</v>
      </c>
      <c r="C16" s="29">
        <f>ThamSo!$B$50*ThamSo!$B$4</f>
        <v>4285750</v>
      </c>
      <c r="D16" s="29">
        <f>B16*C16</f>
        <v>4285750</v>
      </c>
      <c r="E16" s="29">
        <f>D16*$B$2</f>
        <v>17143000</v>
      </c>
      <c r="F16" s="5" t="inlineStr">
        <is>
          <t>Chỉ tính dòng có cột 'Tính' = 1</t>
        </is>
      </c>
    </row>
    <row r="17">
      <c r="A17" s="14" t="inlineStr">
        <is>
          <t>Xe 14 chỗ ngày Trường Thành (chia đều)</t>
        </is>
      </c>
      <c r="B17" s="42" t="n">
        <v>1</v>
      </c>
      <c r="C17" s="29">
        <f>ThamSo!$B$53*ThamSo!$B$4/ThamSo!$B$12</f>
        <v>592500</v>
      </c>
      <c r="D17" s="29">
        <f>B17*C17</f>
        <v>592500</v>
      </c>
      <c r="E17" s="29">
        <f>D17*$B$2</f>
        <v>2370000</v>
      </c>
      <c r="F17" s="5" t="inlineStr">
        <is>
          <t>Cả xe ÷ tổng số người cả đoàn</t>
        </is>
      </c>
    </row>
    <row r="18">
      <c r="A18" s="14" t="inlineStr">
        <is>
          <t>Đi lại nội thành</t>
        </is>
      </c>
      <c r="B18" s="41">
        <f>ThamSo!$B$19</f>
        <v>11</v>
      </c>
      <c r="C18" s="29">
        <f>ThamSo!$B$54*ThamSo!$B$4</f>
        <v>237000</v>
      </c>
      <c r="D18" s="29">
        <f>B18*C18</f>
        <v>2607000</v>
      </c>
      <c r="E18" s="29">
        <f>D18*$B$2</f>
        <v>10428000</v>
      </c>
      <c r="F18" s="5" t="inlineStr">
        <is>
          <t>Số ngày tour × đơn giá/ngày</t>
        </is>
      </c>
    </row>
    <row r="19">
      <c r="A19" s="14" t="inlineStr">
        <is>
          <t>Transfer sân bay, ga</t>
        </is>
      </c>
      <c r="B19" s="42" t="n">
        <v>1</v>
      </c>
      <c r="C19" s="29">
        <f>ThamSo!$B$55*ThamSo!$B$4</f>
        <v>592500</v>
      </c>
      <c r="D19" s="29">
        <f>B19*C19</f>
        <v>592500</v>
      </c>
      <c r="E19" s="29">
        <f>D19*$B$2</f>
        <v>2370000</v>
      </c>
      <c r="F19" s="5" t="inlineStr">
        <is>
          <t>Cả chuyến</t>
        </is>
      </c>
    </row>
    <row r="20">
      <c r="A20" s="14" t="inlineStr">
        <is>
          <t>Ăn uống</t>
        </is>
      </c>
      <c r="B20" s="41">
        <f>ThamSo!$B$19</f>
        <v>11</v>
      </c>
      <c r="C20" s="29">
        <f>ThamSo!$B$56*ThamSo!$B$4</f>
        <v>711000</v>
      </c>
      <c r="D20" s="29">
        <f>B20*C20</f>
        <v>7821000</v>
      </c>
      <c r="E20" s="29">
        <f>D20*$B$2</f>
        <v>31284000</v>
      </c>
      <c r="F20" s="5" t="inlineStr">
        <is>
          <t>Số ngày tour × đơn giá/ngày</t>
        </is>
      </c>
    </row>
    <row r="21">
      <c r="A21" s="14" t="inlineStr">
        <is>
          <t>eSIM</t>
        </is>
      </c>
      <c r="B21" s="42" t="n">
        <v>1</v>
      </c>
      <c r="C21" s="29">
        <f>ThamSo!$B$57*ThamSo!$B$5</f>
        <v>445570</v>
      </c>
      <c r="D21" s="29">
        <f>B21*C21</f>
        <v>445570</v>
      </c>
      <c r="E21" s="29">
        <f>D21*$B$2</f>
        <v>1782280</v>
      </c>
      <c r="F21" s="5" t="inlineStr">
        <is>
          <t>10 ngày</t>
        </is>
      </c>
    </row>
    <row r="22">
      <c r="A22" s="14" t="inlineStr">
        <is>
          <t>Bảo hiểm du lịch</t>
        </is>
      </c>
      <c r="B22" s="42" t="n">
        <v>1</v>
      </c>
      <c r="C22" s="29">
        <f>ThamSo!$B$58</f>
        <v>0</v>
      </c>
      <c r="D22" s="29">
        <f>B22*C22</f>
        <v>0</v>
      </c>
      <c r="E22" s="29">
        <f>D22*$B$2</f>
        <v>0</v>
      </c>
      <c r="F22" s="5" t="inlineStr">
        <is>
          <t>Tuỳ chọn</t>
        </is>
      </c>
    </row>
    <row r="23">
      <c r="A23" s="3" t="inlineStr">
        <is>
          <t>TỔNG (chưa dự phòng)</t>
        </is>
      </c>
      <c r="B23" s="3" t="inlineStr"/>
      <c r="C23" s="3" t="inlineStr"/>
      <c r="D23" s="31">
        <f>SUM(D7:D22)</f>
        <v/>
      </c>
      <c r="E23" s="31">
        <f>SUM(E7:E22)</f>
        <v>148106600</v>
      </c>
      <c r="F23" s="14" t="inlineStr">
        <is>
          <t>Chưa gồm mua sắm</t>
        </is>
      </c>
    </row>
    <row r="24">
      <c r="A24" s="3" t="inlineStr">
        <is>
          <t>Dự phòng</t>
        </is>
      </c>
      <c r="D24" s="29">
        <f>D23*ThamSo!$B$6</f>
        <v>3702665</v>
      </c>
      <c r="E24" s="29">
        <f>E23*ThamSo!$B$6</f>
        <v>14810660</v>
      </c>
      <c r="F24" s="14" t="inlineStr">
        <is>
          <t>Tỷ lệ ở ThamSo!B6</t>
        </is>
      </c>
    </row>
    <row r="25">
      <c r="A25" s="3" t="inlineStr">
        <is>
          <t>TỔNG CÓ DỰ PHÒNG</t>
        </is>
      </c>
      <c r="D25" s="20">
        <f>D23+D24</f>
        <v>40729315</v>
      </c>
      <c r="E25" s="20">
        <f>E23+E24</f>
        <v>162917260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20" customWidth="1" min="4" max="4"/>
    <col width="20" customWidth="1" min="5" max="5"/>
    <col width="60" customWidth="1" min="6" max="6"/>
  </cols>
  <sheetData>
    <row r="1">
      <c r="A1" s="1" t="inlineStr">
        <is>
          <t>CHI PHÍ DỰ KIẾN – nhóm QC (VND). Toàn bộ là công thức, sửa ở sheet ThamSo.</t>
        </is>
      </c>
    </row>
    <row r="2">
      <c r="A2" s="3" t="inlineStr">
        <is>
          <t>Số người</t>
        </is>
      </c>
      <c r="B2" s="17">
        <f>ThamSo!$B$11</f>
        <v>2</v>
      </c>
    </row>
    <row r="3">
      <c r="A3" s="3" t="inlineStr">
        <is>
          <t>Số phòng</t>
        </is>
      </c>
      <c r="B3" s="17">
        <f>ThamSo!$C$11</f>
        <v>1</v>
      </c>
    </row>
    <row r="4">
      <c r="A4" s="3" t="inlineStr">
        <is>
          <t>Cần visa (1/0)</t>
        </is>
      </c>
      <c r="B4" s="17">
        <f>ThamSo!$D$11</f>
        <v>1</v>
      </c>
    </row>
    <row r="6">
      <c r="A6" s="8" t="inlineStr">
        <is>
          <t>Khoản</t>
        </is>
      </c>
      <c r="B6" s="8" t="inlineStr">
        <is>
          <t>Số lượng</t>
        </is>
      </c>
      <c r="C6" s="8" t="inlineStr">
        <is>
          <t>Đơn giá (VND)</t>
        </is>
      </c>
      <c r="D6" s="8" t="inlineStr">
        <is>
          <t>Thành tiền / người (VND)</t>
        </is>
      </c>
      <c r="E6" s="8" t="inlineStr">
        <is>
          <t>Cả nhóm (VND)</t>
        </is>
      </c>
      <c r="F6" s="8" t="inlineStr">
        <is>
          <t>Cách tính / ghi chú</t>
        </is>
      </c>
    </row>
    <row r="7">
      <c r="A7" s="14" t="inlineStr">
        <is>
          <t>Visa Trung Quốc loại L</t>
        </is>
      </c>
      <c r="B7" s="41">
        <f>$B$4</f>
        <v>1</v>
      </c>
      <c r="C7" s="29">
        <f>ThamSo!$B$59*ThamSo!$B$5+ThamSo!$B$60</f>
        <v>2257600</v>
      </c>
      <c r="D7" s="29">
        <f>B7*C7</f>
        <v>2257600</v>
      </c>
      <c r="E7" s="29">
        <f>D7*$B$2</f>
        <v>4515200</v>
      </c>
      <c r="F7" s="5" t="inlineStr">
        <is>
          <t>Phí lãnh sự (USD) + phí dịch vụ CVASC; = 0 nếu nhóm không cần visa</t>
        </is>
      </c>
    </row>
    <row r="8">
      <c r="A8" s="14" t="inlineStr">
        <is>
          <t>Vé đi (tới Thâm Quyến)</t>
        </is>
      </c>
      <c r="B8" s="42" t="n">
        <v>1</v>
      </c>
      <c r="C8" s="29">
        <f>IF(ThamSo!$C$25="CNY",ThamSo!$B$25*ThamSo!$B$4,IF(ThamSo!$C$25="USD",ThamSo!$B$25*ThamSo!$B$5,ThamSo!$B$25))</f>
        <v>294275</v>
      </c>
      <c r="D8" s="29">
        <f>B8*C8</f>
        <v>294275</v>
      </c>
      <c r="E8" s="29">
        <f>D8*$B$2</f>
        <v>588550</v>
      </c>
      <c r="F8" s="5" t="inlineStr">
        <is>
          <t>ThamSo dòng vé đi của nhóm</t>
        </is>
      </c>
    </row>
    <row r="9">
      <c r="A9" s="14" t="inlineStr">
        <is>
          <t>Vé về (Vietjet từ Đại Hưng)</t>
        </is>
      </c>
      <c r="B9" s="42" t="n">
        <v>1</v>
      </c>
      <c r="C9" s="29">
        <f>IF(ThamSo!$C$27="CNY",ThamSo!$B$27*ThamSo!$B$4,IF(ThamSo!$C$27="USD",ThamSo!$B$27*ThamSo!$B$5,ThamSo!$B$27))</f>
        <v>4164000</v>
      </c>
      <c r="D9" s="29">
        <f>B9*C9</f>
        <v>4164000</v>
      </c>
      <c r="E9" s="29">
        <f>D9*$B$2</f>
        <v>8328000</v>
      </c>
      <c r="F9" s="5" t="inlineStr">
        <is>
          <t>ThamSo dòng vé về của nhóm</t>
        </is>
      </c>
    </row>
    <row r="10">
      <c r="A10" s="14" t="inlineStr">
        <is>
          <t>Hành lý ký gửi Vietjet 20 kg</t>
        </is>
      </c>
      <c r="B10" s="42" t="n">
        <v>1</v>
      </c>
      <c r="C10" s="29">
        <f>IF(ThamSo!$C$28="CNY",ThamSo!$B$28*ThamSo!$B$4,IF(ThamSo!$C$28="USD",ThamSo!$B$28*ThamSo!$B$5,ThamSo!$B$28))</f>
        <v>450000</v>
      </c>
      <c r="D10" s="29">
        <f>B10*C10</f>
        <v>450000</v>
      </c>
      <c r="E10" s="29">
        <f>D10*$B$2</f>
        <v>900000</v>
      </c>
      <c r="F10" s="5" t="inlineStr">
        <is>
          <t>Về 0 nếu vé đã kèm 20 kg</t>
        </is>
      </c>
    </row>
    <row r="11">
      <c r="A11" s="14" t="inlineStr">
        <is>
          <t>Bay SZX → HGH</t>
        </is>
      </c>
      <c r="B11" s="42" t="n">
        <v>1</v>
      </c>
      <c r="C11" s="29">
        <f>IF(ThamSo!$C$29="CNY",ThamSo!$B$29*ThamSo!$B$4,IF(ThamSo!$C$29="USD",ThamSo!$B$29*ThamSo!$B$5,ThamSo!$B$29))</f>
        <v>2358150</v>
      </c>
      <c r="D11" s="29">
        <f>B11*C11</f>
        <v>2358150</v>
      </c>
      <c r="E11" s="29">
        <f>D11*$B$2</f>
        <v>4716300</v>
      </c>
      <c r="F11" s="5" t="inlineStr">
        <is>
          <t>Eco nội địa kèm 20 kg</t>
        </is>
      </c>
    </row>
    <row r="12">
      <c r="A12" s="14" t="inlineStr">
        <is>
          <t>Tàu Hangzhou East → Beijing South</t>
        </is>
      </c>
      <c r="B12" s="42" t="n">
        <v>1</v>
      </c>
      <c r="C12" s="29">
        <f>IF(ThamSo!$C$30="CNY",ThamSo!$B$30*ThamSo!$B$4,IF(ThamSo!$C$30="USD",ThamSo!$B$30*ThamSo!$B$5,ThamSo!$B$30))</f>
        <v>2054000</v>
      </c>
      <c r="D12" s="29">
        <f>B12*C12</f>
        <v>2054000</v>
      </c>
      <c r="E12" s="29">
        <f>D12*$B$2</f>
        <v>4108000</v>
      </c>
      <c r="F12" s="5" t="inlineStr">
        <is>
          <t>Hạng 2</t>
        </is>
      </c>
    </row>
    <row r="13">
      <c r="A13" s="14" t="inlineStr">
        <is>
          <t>Khách sạn Thâm Quyến</t>
        </is>
      </c>
      <c r="B13" s="41">
        <f>ThamSo!$B$15</f>
        <v>3</v>
      </c>
      <c r="C13" s="29">
        <f>ThamSo!$C$15*ThamSo!$B$4*$B$3/$B$2</f>
        <v>691250</v>
      </c>
      <c r="D13" s="29">
        <f>B13*C13</f>
        <v>2073750</v>
      </c>
      <c r="E13" s="29">
        <f>D13*$B$2</f>
        <v>4147500</v>
      </c>
      <c r="F13" s="5" t="inlineStr">
        <is>
          <t>Số đêm × giá phòng × số phòng ÷ số người</t>
        </is>
      </c>
    </row>
    <row r="14">
      <c r="A14" s="14" t="inlineStr">
        <is>
          <t>Khách sạn Hàng Châu</t>
        </is>
      </c>
      <c r="B14" s="41">
        <f>ThamSo!$B$16</f>
        <v>3</v>
      </c>
      <c r="C14" s="29">
        <f>ThamSo!$C$16*ThamSo!$B$4*$B$3/$B$2</f>
        <v>750500</v>
      </c>
      <c r="D14" s="29">
        <f>B14*C14</f>
        <v>2251500</v>
      </c>
      <c r="E14" s="29">
        <f>D14*$B$2</f>
        <v>4503000</v>
      </c>
      <c r="F14" s="5" t="inlineStr">
        <is>
          <t>Số đêm × giá phòng × số phòng ÷ số người</t>
        </is>
      </c>
    </row>
    <row r="15">
      <c r="A15" s="14" t="inlineStr">
        <is>
          <t>Khách sạn Bắc Kinh</t>
        </is>
      </c>
      <c r="B15" s="41">
        <f>ThamSo!$B$17</f>
        <v>4</v>
      </c>
      <c r="C15" s="29">
        <f>ThamSo!$C$17*ThamSo!$B$4*$B$3/$B$2</f>
        <v>790000</v>
      </c>
      <c r="D15" s="29">
        <f>B15*C15</f>
        <v>3160000</v>
      </c>
      <c r="E15" s="29">
        <f>D15*$B$2</f>
        <v>6320000</v>
      </c>
      <c r="F15" s="5" t="inlineStr">
        <is>
          <t>Số đêm × giá phòng × số phòng ÷ số người</t>
        </is>
      </c>
    </row>
    <row r="16">
      <c r="A16" s="14" t="inlineStr">
        <is>
          <t>Vé tham quan (theo bảng ThamSo)</t>
        </is>
      </c>
      <c r="B16" s="42" t="n">
        <v>1</v>
      </c>
      <c r="C16" s="29">
        <f>ThamSo!$B$50*ThamSo!$B$4</f>
        <v>4285750</v>
      </c>
      <c r="D16" s="29">
        <f>B16*C16</f>
        <v>4285750</v>
      </c>
      <c r="E16" s="29">
        <f>D16*$B$2</f>
        <v>8571500</v>
      </c>
      <c r="F16" s="5" t="inlineStr">
        <is>
          <t>Chỉ tính dòng có cột 'Tính' = 1</t>
        </is>
      </c>
    </row>
    <row r="17">
      <c r="A17" s="14" t="inlineStr">
        <is>
          <t>Xe 14 chỗ ngày Trường Thành (chia đều)</t>
        </is>
      </c>
      <c r="B17" s="42" t="n">
        <v>1</v>
      </c>
      <c r="C17" s="29">
        <f>ThamSo!$B$53*ThamSo!$B$4/ThamSo!$B$12</f>
        <v>592500</v>
      </c>
      <c r="D17" s="29">
        <f>B17*C17</f>
        <v>592500</v>
      </c>
      <c r="E17" s="29">
        <f>D17*$B$2</f>
        <v>1185000</v>
      </c>
      <c r="F17" s="5" t="inlineStr">
        <is>
          <t>Cả xe ÷ tổng số người cả đoàn</t>
        </is>
      </c>
    </row>
    <row r="18">
      <c r="A18" s="14" t="inlineStr">
        <is>
          <t>Đi lại nội thành</t>
        </is>
      </c>
      <c r="B18" s="41">
        <f>ThamSo!$B$19</f>
        <v>11</v>
      </c>
      <c r="C18" s="29">
        <f>ThamSo!$B$54*ThamSo!$B$4</f>
        <v>237000</v>
      </c>
      <c r="D18" s="29">
        <f>B18*C18</f>
        <v>2607000</v>
      </c>
      <c r="E18" s="29">
        <f>D18*$B$2</f>
        <v>5214000</v>
      </c>
      <c r="F18" s="5" t="inlineStr">
        <is>
          <t>Số ngày tour × đơn giá/ngày</t>
        </is>
      </c>
    </row>
    <row r="19">
      <c r="A19" s="14" t="inlineStr">
        <is>
          <t>Transfer sân bay, ga</t>
        </is>
      </c>
      <c r="B19" s="42" t="n">
        <v>1</v>
      </c>
      <c r="C19" s="29">
        <f>ThamSo!$B$55*ThamSo!$B$4</f>
        <v>592500</v>
      </c>
      <c r="D19" s="29">
        <f>B19*C19</f>
        <v>592500</v>
      </c>
      <c r="E19" s="29">
        <f>D19*$B$2</f>
        <v>1185000</v>
      </c>
      <c r="F19" s="5" t="inlineStr">
        <is>
          <t>Cả chuyến</t>
        </is>
      </c>
    </row>
    <row r="20">
      <c r="A20" s="14" t="inlineStr">
        <is>
          <t>Ăn uống</t>
        </is>
      </c>
      <c r="B20" s="41">
        <f>ThamSo!$B$19</f>
        <v>11</v>
      </c>
      <c r="C20" s="29">
        <f>ThamSo!$B$56*ThamSo!$B$4</f>
        <v>711000</v>
      </c>
      <c r="D20" s="29">
        <f>B20*C20</f>
        <v>7821000</v>
      </c>
      <c r="E20" s="29">
        <f>D20*$B$2</f>
        <v>15642000</v>
      </c>
      <c r="F20" s="5" t="inlineStr">
        <is>
          <t>Số ngày tour × đơn giá/ngày</t>
        </is>
      </c>
    </row>
    <row r="21">
      <c r="A21" s="14" t="inlineStr">
        <is>
          <t>eSIM</t>
        </is>
      </c>
      <c r="B21" s="42" t="n">
        <v>1</v>
      </c>
      <c r="C21" s="29">
        <f>ThamSo!$B$57*ThamSo!$B$5</f>
        <v>445570</v>
      </c>
      <c r="D21" s="29">
        <f>B21*C21</f>
        <v>445570</v>
      </c>
      <c r="E21" s="29">
        <f>D21*$B$2</f>
        <v>891140</v>
      </c>
      <c r="F21" s="5" t="inlineStr">
        <is>
          <t>10 ngày</t>
        </is>
      </c>
    </row>
    <row r="22">
      <c r="A22" s="14" t="inlineStr">
        <is>
          <t>Bảo hiểm du lịch</t>
        </is>
      </c>
      <c r="B22" s="42" t="n">
        <v>1</v>
      </c>
      <c r="C22" s="29">
        <f>ThamSo!$B$58</f>
        <v>0</v>
      </c>
      <c r="D22" s="29">
        <f>B22*C22</f>
        <v>0</v>
      </c>
      <c r="E22" s="29">
        <f>D22*$B$2</f>
        <v>0</v>
      </c>
      <c r="F22" s="5" t="inlineStr">
        <is>
          <t>Tuỳ chọn</t>
        </is>
      </c>
    </row>
    <row r="23">
      <c r="A23" s="3" t="inlineStr">
        <is>
          <t>TỔNG (chưa dự phòng)</t>
        </is>
      </c>
      <c r="B23" s="3" t="inlineStr"/>
      <c r="C23" s="3" t="inlineStr"/>
      <c r="D23" s="31">
        <f>SUM(D7:D22)</f>
        <v/>
      </c>
      <c r="E23" s="31">
        <f>SUM(E7:E22)</f>
        <v>70815190</v>
      </c>
      <c r="F23" s="14" t="inlineStr">
        <is>
          <t>Chưa gồm mua sắm</t>
        </is>
      </c>
    </row>
    <row r="24">
      <c r="A24" s="3" t="inlineStr">
        <is>
          <t>Dự phòng</t>
        </is>
      </c>
      <c r="D24" s="29">
        <f>D23*ThamSo!$B$6</f>
        <v>3540759.5</v>
      </c>
      <c r="E24" s="29">
        <f>E23*ThamSo!$B$6</f>
        <v>7081519</v>
      </c>
      <c r="F24" s="14" t="inlineStr">
        <is>
          <t>Tỷ lệ ở ThamSo!B6</t>
        </is>
      </c>
    </row>
    <row r="25">
      <c r="A25" s="3" t="inlineStr">
        <is>
          <t>TỔNG CÓ DỰ PHÒNG</t>
        </is>
      </c>
      <c r="D25" s="20">
        <f>D23+D24</f>
        <v>38948354.5</v>
      </c>
      <c r="E25" s="20">
        <f>E23+E24</f>
        <v>77896709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NGUỒN THAM KHẢO (tra 21/09/2026)</t>
        </is>
      </c>
    </row>
    <row r="4">
      <c r="A4" s="14" t="inlineStr">
        <is>
          <t>Tỷ giá CNY/VND VCB 19/09/2026</t>
        </is>
      </c>
      <c r="B4" s="14" t="inlineStr">
        <is>
          <t>https://baohatinh.vn/cong-cu/ty-gia/cny</t>
        </is>
      </c>
    </row>
    <row r="5">
      <c r="A5" s="14" t="inlineStr">
        <is>
          <t>Tỷ giá USD/VND VCB 20/09/2026</t>
        </is>
      </c>
      <c r="B5" s="14" t="inlineStr">
        <is>
          <t>https://chogia.vn/ty-gia/vietcombank/</t>
        </is>
      </c>
    </row>
    <row r="6">
      <c r="A6" s="14" t="inlineStr">
        <is>
          <t>Phí visa TQ 2026</t>
        </is>
      </c>
      <c r="B6" s="14" t="inlineStr">
        <is>
          <t>https://mia.vn/cam-nang-du-lich/lam-visa-du-lich-trung-quoc-het-bao-nhieu-tien-20201</t>
        </is>
      </c>
    </row>
    <row r="7">
      <c r="A7" s="14" t="inlineStr">
        <is>
          <t>Visa TQ cho công dân VN, CVASC</t>
        </is>
      </c>
      <c r="B7" s="14" t="inlineStr">
        <is>
          <t>https://chinatravelflow.com/en/visa/china-visa-for-vietnamese-citizens</t>
        </is>
      </c>
    </row>
    <row r="8">
      <c r="A8" s="14" t="inlineStr">
        <is>
          <t>Skyscanner SGN–SZX (từ 113 USD)</t>
        </is>
      </c>
      <c r="B8" s="14" t="inlineStr">
        <is>
          <t>https://www.skyscanner.com/routes/sgn/szx/ho-chi-minh-city-to-shenzhen-bao-an-international.html</t>
        </is>
      </c>
    </row>
    <row r="9">
      <c r="A9" s="14" t="inlineStr">
        <is>
          <t>Đại lý China Southern VN (khứ hồi 5,3–8,5 triệu)</t>
        </is>
      </c>
      <c r="B9" s="14" t="inlineStr">
        <is>
          <t>https://chinasouthernair.vn/ve-may-bay-di-trung-quoc</t>
        </is>
      </c>
    </row>
    <row r="10">
      <c r="A10" s="14" t="inlineStr">
        <is>
          <t>Expedia HAN–SZX (từ 144 USD, TB 142 USD)</t>
        </is>
      </c>
      <c r="B10" s="14" t="inlineStr">
        <is>
          <t>https://www.expedia.com/lp/flights/han/szx/hanoi-to-shenzhen</t>
        </is>
      </c>
    </row>
    <row r="11">
      <c r="A11" s="14" t="inlineStr">
        <is>
          <t>Airportia CZ8466</t>
        </is>
      </c>
      <c r="B11" s="14" t="inlineStr">
        <is>
          <t>https://www.airportia.com/flights/cz8466/ho-chi-minh-city/shenzhen/</t>
        </is>
      </c>
    </row>
    <row r="12">
      <c r="A12" s="14" t="inlineStr">
        <is>
          <t>Shenzhen Airlines timetable 12/2025 (ZH104)</t>
        </is>
      </c>
      <c r="B12" s="14" t="inlineStr">
        <is>
          <t>https://globalpage.shenzhenair.com/webfile/zhair/cms/static/pages/wcm/static-navigation/Itinerary/FAQ/schedule/flight_timetable/FlightTimetable%2020251216.pdf</t>
        </is>
      </c>
    </row>
    <row r="13">
      <c r="A13" s="14" t="inlineStr">
        <is>
          <t>VJ7713 lịch 2026 (01:20, từ 103 USD)</t>
        </is>
      </c>
      <c r="B13" s="14" t="inlineStr">
        <is>
          <t>https://www.trip.com/flights/status-vj7713/</t>
        </is>
      </c>
    </row>
    <row r="14">
      <c r="A14" s="14" t="inlineStr">
        <is>
          <t>Airportia VJ3949</t>
        </is>
      </c>
      <c r="B14" s="14" t="inlineStr">
        <is>
          <t>https://www.airportia.com/flights/vj3949/beijing/ho-chi-minh-city/</t>
        </is>
      </c>
    </row>
    <row r="15">
      <c r="A15" s="14" t="inlineStr">
        <is>
          <t>Vietjet tặng 20 kg quốc tế 2026</t>
        </is>
      </c>
      <c r="B15" s="14" t="inlineStr">
        <is>
          <t>https://www.ivivu.com/blog/2026/03/vietjet-air-tang-20kg-hanh-ly-ky-gui-cho-cac-chuyen-bay-quoc-te/</t>
        </is>
      </c>
    </row>
    <row r="16">
      <c r="A16" s="14" t="inlineStr">
        <is>
          <t>Phí mua hành lý Vietjet</t>
        </is>
      </c>
      <c r="B16" s="14" t="inlineStr">
        <is>
          <t>https://vinwonders.com/vi/wonderpedia/news/mua-them-hanh-ly-ky-gui-vietjet/</t>
        </is>
      </c>
    </row>
    <row r="17">
      <c r="A17" s="14" t="inlineStr">
        <is>
          <t>Tàu Guangzhou South – Futian 74,5 CNY</t>
        </is>
      </c>
      <c r="B17" s="14" t="inlineStr">
        <is>
          <t>https://www.trip.com/trains/china/route/guangzhou-south-to-futian/</t>
        </is>
      </c>
    </row>
    <row r="18">
      <c r="A18" s="14" t="inlineStr">
        <is>
          <t>Bay SZX–HGH (từ 69 USD)</t>
        </is>
      </c>
      <c r="B18" s="14" t="inlineStr">
        <is>
          <t>https://www.skyscanner.com/routes/szx/hgh/shenzhen-bao-an-international-to-hangzhou.html</t>
        </is>
      </c>
    </row>
    <row r="19">
      <c r="A19" s="14" t="inlineStr">
        <is>
          <t>Tàu Hàng Châu – Bắc Kinh 605–749 CNY</t>
        </is>
      </c>
      <c r="B19" s="14" t="inlineStr">
        <is>
          <t>https://www.travelchinaguide.com/china-trains/high-speed/hangzhou-beijing.htm</t>
        </is>
      </c>
    </row>
    <row r="20">
      <c r="A20" s="14" t="inlineStr">
        <is>
          <t>12306 mở bán 15 ngày</t>
        </is>
      </c>
      <c r="B20" s="14" t="inlineStr">
        <is>
          <t>https://www.traveltochina.net/guides/12306-ticket-release-time</t>
        </is>
      </c>
    </row>
    <row r="21">
      <c r="A21" s="14" t="inlineStr">
        <is>
          <t>Ji Hotel Hangzhou West Lake (từ 46 USD)</t>
        </is>
      </c>
      <c r="B21" s="14" t="inlineStr">
        <is>
          <t>https://www.kayak.com/Hangzhou-Hotels-Ji-Hangzhou-West-Lake.2041867.ksp</t>
        </is>
      </c>
    </row>
    <row r="22">
      <c r="A22" s="14" t="inlineStr">
        <is>
          <t>Ji Hotel Beijing Wangfujing (~58 USD)</t>
        </is>
      </c>
      <c r="B22" s="14" t="inlineStr">
        <is>
          <t>https://www.agoda.com/ji-hotel-beijing-wangfujing/hotel/beijing-cn.html</t>
        </is>
      </c>
    </row>
    <row r="23">
      <c r="A23" s="14" t="inlineStr">
        <is>
          <t>Atour Shenzhen Huaqiangbei (từ 72 USD)</t>
        </is>
      </c>
      <c r="B23" s="14" t="inlineStr">
        <is>
          <t>https://www.booking.com/hotel/cn/atour-shenzhen-huaqiangbei-commercial-center.html</t>
        </is>
      </c>
    </row>
    <row r="24">
      <c r="A24" s="14" t="inlineStr">
        <is>
          <t>Ping An Free Sky giá</t>
        </is>
      </c>
      <c r="B24" s="14" t="inlineStr">
        <is>
          <t>https://www.eastchinatrip.com/china-attraction-tickets/shenzhen/ping-an-finance-center-free-sky-tickets/</t>
        </is>
      </c>
    </row>
    <row r="25">
      <c r="A25" s="14" t="inlineStr">
        <is>
          <t>Thuyền Tây Hồ</t>
        </is>
      </c>
      <c r="B25" s="14" t="inlineStr">
        <is>
          <t>https://www.chinadiscovery.com/zhejiang/hangzhou/west-lake-boat.html</t>
        </is>
      </c>
    </row>
    <row r="26">
      <c r="A26" s="14" t="inlineStr">
        <is>
          <t>Lôi Phong</t>
        </is>
      </c>
      <c r="B26" s="14" t="inlineStr">
        <is>
          <t>https://travelchinawith.me/attractions/zhejiang/hangzhou/leifeng-pagoda/</t>
        </is>
      </c>
    </row>
    <row r="27">
      <c r="A27" s="14" t="inlineStr">
        <is>
          <t>Linh Ẩn – Phi Lai Phong</t>
        </is>
      </c>
      <c r="B27" s="14" t="inlineStr">
        <is>
          <t>https://www.getyourguide.com/hangzhou-l1241/hangzhou-lingyin-temple-feilai-feng-entry-ticket-t1212238/</t>
        </is>
      </c>
    </row>
    <row r="28">
      <c r="A28" s="14" t="inlineStr">
        <is>
          <t>Impression West Lake</t>
        </is>
      </c>
      <c r="B28" s="14" t="inlineStr">
        <is>
          <t>https://www.chinadiscovery.com/zhejiang/hangzhou/west-lake/impression-west-lake.html</t>
        </is>
      </c>
    </row>
    <row r="29">
      <c r="A29" s="14" t="inlineStr">
        <is>
          <t>Mutianyu vé, giờ</t>
        </is>
      </c>
      <c r="B29" s="14" t="inlineStr">
        <is>
          <t>https://greatwalltravelguide.com/mutianyu-great-wall-opening-hours-ultimate-guide-for-visitors/</t>
        </is>
      </c>
    </row>
    <row r="30">
      <c r="A30" s="14" t="inlineStr">
        <is>
          <t>Mutianyu shuttle 15 CNY</t>
        </is>
      </c>
      <c r="B30" s="14" t="inlineStr">
        <is>
          <t>https://www.discoverchinatours.com/china-tour-guide/china-tour-guide-116.html</t>
        </is>
      </c>
    </row>
    <row r="31">
      <c r="A31" s="14" t="inlineStr">
        <is>
          <t>Thuê xe Bắc Kinh 500–1.500 CNY/ngày</t>
        </is>
      </c>
      <c r="B31" s="14" t="inlineStr">
        <is>
          <t>https://www.travelchinaguide.com/car-rental/beijing/</t>
        </is>
      </c>
    </row>
    <row r="32">
      <c r="A32" s="14" t="inlineStr">
        <is>
          <t>Thiên Đàn vé mùa thấp điểm</t>
        </is>
      </c>
      <c r="B32" s="14" t="inlineStr">
        <is>
          <t>https://intotravelchina.com/en/articles/1777365728513622395.html</t>
        </is>
      </c>
    </row>
    <row r="33">
      <c r="A33" s="14" t="inlineStr">
        <is>
          <t>Di Hòa Viên vé</t>
        </is>
      </c>
      <c r="B33" s="14" t="inlineStr">
        <is>
          <t>https://dragontrail.cc/travel-guide/beijing-city-guide/summer-palace/tickets</t>
        </is>
      </c>
    </row>
    <row r="34">
      <c r="A34" s="14" t="inlineStr">
        <is>
          <t>Cảnh Sơn vé</t>
        </is>
      </c>
      <c r="B34" s="14" t="inlineStr">
        <is>
          <t>https://english.beijing.gov.cn/specials/parktours/guidevisitors/jingshanpark/overview/202301/t20230111_2896664.html</t>
        </is>
      </c>
    </row>
    <row r="35">
      <c r="A35" s="14" t="inlineStr">
        <is>
          <t>Ung Hòa Cung vé, đặt slot</t>
        </is>
      </c>
      <c r="B35" s="14" t="inlineStr">
        <is>
          <t>https://www.wanderinchina.com/destinations/beijing/lama-temple/</t>
        </is>
      </c>
    </row>
    <row r="36">
      <c r="A36" s="14" t="inlineStr">
        <is>
          <t>Tử Cấm Thành giá vé</t>
        </is>
      </c>
      <c r="B36" s="14" t="inlineStr">
        <is>
          <t>https://forbiddencity.bj.cn/en/tickets.html</t>
        </is>
      </c>
    </row>
    <row r="37">
      <c r="A37" s="14" t="inlineStr">
        <is>
          <t>Tử Cấm Thành đặt vé</t>
        </is>
      </c>
      <c r="B37" s="14" t="inlineStr">
        <is>
          <t>https://www.chinadiscovery.com/beijing/forbidden-city/how-to-book-tickets.html</t>
        </is>
      </c>
    </row>
    <row r="38">
      <c r="A38" s="14" t="inlineStr">
        <is>
          <t>Thiên An Môn đặt chỗ</t>
        </is>
      </c>
      <c r="B38" s="14" t="inlineStr">
        <is>
          <t>https://wildgreatwall.com/make-reservation-tiananmen-square/</t>
        </is>
      </c>
    </row>
    <row r="39">
      <c r="A39" s="14" t="inlineStr">
        <is>
          <t>Siji Minfu giá</t>
        </is>
      </c>
      <c r="B39" s="14" t="inlineStr">
        <is>
          <t>https://www.trip.com/guide/food/beijing-duck.html</t>
        </is>
      </c>
    </row>
    <row r="40">
      <c r="A40" s="14" t="inlineStr">
        <is>
          <t>Chi phí ăn uống TQ 2026</t>
        </is>
      </c>
      <c r="B40" s="14" t="inlineStr">
        <is>
          <t>https://www.chinaxiantour.com/travel-guide/china-food-cost</t>
        </is>
      </c>
    </row>
    <row r="41">
      <c r="A41" s="14" t="inlineStr">
        <is>
          <t>Metro Bắc Kinh</t>
        </is>
      </c>
      <c r="B41" s="14" t="inlineStr">
        <is>
          <t>https://english.beijing.gov.cn/specials/beijinglifeonthesubway/noticeforpassengers/202504/t20250423_4072294.html</t>
        </is>
      </c>
    </row>
    <row r="42">
      <c r="A42" s="14" t="inlineStr">
        <is>
          <t>Didi Bắc Kinh</t>
        </is>
      </c>
      <c r="B42" s="14" t="inlineStr">
        <is>
          <t>https://www.taxifarefinder.com/main.php?city=Didi-Express-Beijing</t>
        </is>
      </c>
    </row>
    <row r="43">
      <c r="A43" s="14" t="inlineStr">
        <is>
          <t>Daxing Airport Express</t>
        </is>
      </c>
      <c r="B43" s="14" t="inlineStr">
        <is>
          <t>https://www.travelchinaguide.com/cityguides/beijing/subway-new-airport-line.htm</t>
        </is>
      </c>
    </row>
    <row r="44">
      <c r="A44" s="14" t="inlineStr">
        <is>
          <t>eSIM TQ 2026</t>
        </is>
      </c>
      <c r="B44" s="14" t="inlineStr">
        <is>
          <t>https://unusualnomad.com/china-esim/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2026-09-21T15:27:30Z</dcterms:created>
  <dcterms:modified xsi:type="dcterms:W3CDTF">2026-09-23T06:26:48Z</dcterms:modified>
</cp:coreProperties>
</file>