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1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3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2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9</v>
      </c>
    </row>
    <row r="19">
      <c r="A19" s="3" t="inlineStr">
        <is>
          <t>Số ngày tour (đêm + 1)</t>
        </is>
      </c>
      <c r="B19" s="10">
        <f>B18+1</f>
        <v>10</v>
      </c>
    </row>
    <row r="20">
      <c r="A20" s="3" t="inlineStr">
        <is>
          <t>Ngày kết thúc (ngày bay đêm)</t>
        </is>
      </c>
      <c r="B20" s="34">
        <f>B3+B18</f>
        <v>46329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3094000</v>
      </c>
      <c r="C26" s="13" t="inlineStr">
        <is>
          <t>VND</t>
        </is>
      </c>
      <c r="D26" s="5" t="inlineStr">
        <is>
          <t>Air China PEK 00:10 → HAN 03:15 (bay thẳng ĐÊM, từ Bắc Kinh Thủ Đô PEK)</t>
        </is>
      </c>
      <c r="E26" s="5" t="inlineStr">
        <is>
          <t>Ảnh Sếp 23/09: 3.105.000đ; rẻ hơn Xiamen + bay đêm, giữ ngày cuối</t>
        </is>
      </c>
    </row>
    <row r="27">
      <c r="A27" s="3" t="inlineStr">
        <is>
          <t>SGN + QC về</t>
        </is>
      </c>
      <c r="B27" s="33" t="n">
        <v>3753000</v>
      </c>
      <c r="C27" s="13" t="inlineStr">
        <is>
          <t>VND</t>
        </is>
      </c>
      <c r="D27" s="5" t="inlineStr">
        <is>
          <t>VJ3949 PKX 01:05 → SGN 05:00 (Vietjet, SGN + Quảng Châu về chung)</t>
        </is>
      </c>
      <c r="E27" s="5" t="inlineStr">
        <is>
          <t>Ảnh Sếp 23/09: VJ3949 4.126.000đ (từ PKX Đại Hưng)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Bay Hàng Châu → Bắc Kinh (~2h15)</t>
        </is>
      </c>
      <c r="B30" s="33" t="n">
        <v>520</v>
      </c>
      <c r="C30" s="13" t="inlineStr">
        <is>
          <t>CNY</t>
        </is>
      </c>
      <c r="D30" s="5" t="inlineStr">
        <is>
          <t>Bay HGH → Bắc Kinh (China Eastern ~2h15), THAY tàu; + transfer sân bay ~1h</t>
        </is>
      </c>
      <c r="E30" s="5" t="inlineStr">
        <is>
          <t>Trip.com 23/09: bay thẳng 480–560 CNY, rẻ &amp; nhanh hơn tàu 650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36276320</v>
      </c>
      <c r="D4" s="18">
        <f>ChiPhi_HN!$D$25</f>
        <v>39903952</v>
      </c>
      <c r="E4" s="18">
        <f>ChiPhi_HN!$E$23</f>
        <v>72552640</v>
      </c>
      <c r="F4" s="18">
        <f>ChiPhi_HN!$E$25</f>
        <v>79807904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34917150</v>
      </c>
      <c r="D5" s="18">
        <f>ChiPhi_SGN!$D$25</f>
        <v>38408865</v>
      </c>
      <c r="E5" s="18">
        <f>ChiPhi_SGN!$E$23</f>
        <v>139668600</v>
      </c>
      <c r="F5" s="18">
        <f>ChiPhi_SGN!$E$25</f>
        <v>153635460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33298095</v>
      </c>
      <c r="D6" s="18">
        <f>ChiPhi_QC!$D$25</f>
        <v>36627904.5</v>
      </c>
      <c r="E6" s="18">
        <f>ChiPhi_QC!$E$23</f>
        <v>66596190</v>
      </c>
      <c r="F6" s="18">
        <f>ChiPhi_QC!$E$25</f>
        <v>73255809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306699173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46329</v>
      </c>
    </row>
    <row r="11">
      <c r="A11" s="3" t="inlineStr">
        <is>
          <t>Số ngày / đêm</t>
        </is>
      </c>
      <c r="B11" s="22" t="str">
        <f>ThamSo!$B$19&amp;" ngày / "&amp;ThamSo!$B$18&amp;" đêm"</f>
        <v>10 ngày / 9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⚠️ Giờ-by-giờ dưới là bản HOẠT ĐỘNG gốc (v3: đáp ban NGÀY, Thâm Quyến 3 / Hàng Châu 2 / Bắc Kinh 4). THỰC TẾ đã đổi: vé bay ĐÊM (SGN Vietravel 00:10→04:00, HN Shenzhen Air 02:10→05:00), HỘI QUÂN sáng 26/10, HN VỀ ban ngày XiamenAir (đêm 03→04/11 không có VietJet thẳng). Sau khi CHỐT option (A=TQ2/HC3/BK4, B=v3, C=TQ3/HC3/BK4) sẽ sắp lại thứ tự ngày cho khớp số đêm. Xem file .md mục 2–4 cho bản cập nhật.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Thâm Quyến</t>
        </is>
      </c>
      <c r="E4" s="14" t="inlineStr">
        <is>
          <t>12:00 / 12:30</t>
        </is>
      </c>
      <c r="F4" s="5" t="inlineStr">
        <is>
          <t>Nhóm SGN có mặt Tân Sơn Nhất T2, nhóm HN có mặt Nội Bài T2</t>
        </is>
      </c>
      <c r="G4" s="36" t="inlineStr"/>
      <c r="H4" s="5" t="inlineStr">
        <is>
          <t>Trước giờ bay 2h30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inlineStr"/>
      <c r="E5" s="14" t="inlineStr">
        <is>
          <t>17:50 / 18:20</t>
        </is>
      </c>
      <c r="F5" s="5" t="inlineStr">
        <is>
          <t>Đáp SZX T3 (ZH104 / CZ8466). Nhập cảnh, lấy hành lý, gặp nhau sảnh đến</t>
        </is>
      </c>
      <c r="G5" s="36" t="inlineStr"/>
      <c r="H5" s="5" t="inlineStr">
        <is>
          <t>Cùng nhà ga T3</t>
        </is>
      </c>
    </row>
    <row r="6">
      <c r="A6" s="14" t="inlineStr">
        <is>
          <t>Ngày 1</t>
        </is>
      </c>
      <c r="B6" s="37">
        <f>ThamSo!$B$3+0</f>
        <v>46320</v>
      </c>
      <c r="C6" s="14" t="str">
        <f>CHOOSE(WEEKDAY(B6),"CN","T2","T3","T4","T5","T6","T7")</f>
        <v>CN</v>
      </c>
      <c r="D6" s="14" t="inlineStr"/>
      <c r="E6" s="14" t="inlineStr">
        <is>
          <t>19:30</t>
        </is>
      </c>
      <c r="F6" s="5" t="inlineStr">
        <is>
          <t>Về khách sạn Futian: Metro L11 ~30 phút (~8 CNY) hoặc 2 xe Didi (~100 CNY/xe)</t>
        </is>
      </c>
      <c r="G6" s="36" t="inlineStr"/>
      <c r="H6" s="5" t="inlineStr"/>
    </row>
    <row r="7">
      <c r="A7" s="14" t="inlineStr">
        <is>
          <t>Ngày 1</t>
        </is>
      </c>
      <c r="B7" s="37">
        <f>ThamSo!$B$3+0</f>
        <v>46320</v>
      </c>
      <c r="C7" s="14" t="str">
        <f>CHOOSE(WEEKDAY(B7),"CN","T2","T3","T4","T5","T6","T7")</f>
        <v>CN</v>
      </c>
      <c r="D7" s="14" t="inlineStr"/>
      <c r="E7" s="14" t="inlineStr">
        <is>
          <t>19:30–20:00</t>
        </is>
      </c>
      <c r="F7" s="5" t="inlineStr">
        <is>
          <t>Nhóm Quảng Châu: tàu G Guangzhou South → Futian (29 phút), về khách sạn</t>
        </is>
      </c>
      <c r="G7" s="36" t="inlineStr"/>
      <c r="H7" s="5" t="inlineStr">
        <is>
          <t>Vé 74,5 CNY</t>
        </is>
      </c>
    </row>
    <row r="8">
      <c r="A8" s="14" t="inlineStr">
        <is>
          <t>Ngày 1</t>
        </is>
      </c>
      <c r="B8" s="37">
        <f>ThamSo!$B$3+0</f>
        <v>46320</v>
      </c>
      <c r="C8" s="14" t="str">
        <f>CHOOSE(WEEKDAY(B8),"CN","T2","T3","T4","T5","T6","T7")</f>
        <v>CN</v>
      </c>
      <c r="D8" s="14" t="inlineStr"/>
      <c r="E8" s="14" t="inlineStr">
        <is>
          <t>20:00</t>
        </is>
      </c>
      <c r="F8" s="5" t="inlineStr">
        <is>
          <t>Cả đoàn ăn tối Coco Park. Kích hoạt eSIM, set Alipay / WeChat Pay</t>
        </is>
      </c>
      <c r="G8" s="36" t="inlineStr"/>
      <c r="H8" s="5" t="inlineStr"/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inlineStr">
        <is>
          <t>Thâm Quyến</t>
        </is>
      </c>
      <c r="E9" s="14" t="inlineStr">
        <is>
          <t>09:30–12:30</t>
        </is>
      </c>
      <c r="F9" s="5" t="inlineStr">
        <is>
          <t>[trend] Nantou Ancient Town – cổ thành 1.700 năm cải tạo thành khu cafe, gallery, bar thủ công (Metro L12). Ăn trưa trong khu</t>
        </is>
      </c>
      <c r="G9" s="36" t="inlineStr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inlineStr"/>
      <c r="E10" s="14" t="inlineStr">
        <is>
          <t>14:00–16:30</t>
        </is>
      </c>
      <c r="F10" s="5" t="inlineStr">
        <is>
          <t>Huaqiangbei – chợ điện tử lớn nhất TQ: SEG Plaza, Huaqiang Electronic World, Mingtong</t>
        </is>
      </c>
      <c r="G10" s="36" t="inlineStr"/>
      <c r="H10" s="5" t="inlineStr">
        <is>
          <t>Miễn phí, mở ~10:00–20:00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inlineStr"/>
      <c r="E11" s="14" t="inlineStr">
        <is>
          <t>17:00–19:00</t>
        </is>
      </c>
      <c r="F11" s="5" t="inlineStr">
        <is>
          <t>Ping An Finance Center – Free Sky tầng 116, hoàng hôn ~17:50 (vào cửa cuối 19:15, book bằng hộ chiếu)</t>
        </is>
      </c>
      <c r="G11" s="38">
        <f>ThamSo!$B$33*ThamSo!$C$33</f>
        <v>180</v>
      </c>
      <c r="H11" s="5" t="inlineStr">
        <is>
          <t>Online 180, quầy 200</t>
        </is>
      </c>
    </row>
    <row r="12">
      <c r="A12" s="14" t="inlineStr">
        <is>
          <t>Ngày 2</t>
        </is>
      </c>
      <c r="B12" s="37">
        <f>ThamSo!$B$3+1</f>
        <v>46321</v>
      </c>
      <c r="C12" s="14" t="str">
        <f>CHOOSE(WEEKDAY(B12),"CN","T2","T3","T4","T5","T6","T7")</f>
        <v>T2</v>
      </c>
      <c r="D12" s="14" t="inlineStr"/>
      <c r="E12" s="14" t="inlineStr">
        <is>
          <t>19:30</t>
        </is>
      </c>
      <c r="F12" s="5" t="inlineStr">
        <is>
          <t>Ăn tối Futian</t>
        </is>
      </c>
      <c r="G12" s="36" t="inlineStr"/>
      <c r="H12" s="5" t="inlineStr"/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inlineStr">
        <is>
          <t>Thâm Quyến</t>
        </is>
      </c>
      <c r="E13" s="14" t="inlineStr">
        <is>
          <t>09:00–12:00</t>
        </is>
      </c>
      <c r="F13" s="5" t="inlineStr">
        <is>
          <t>Dafen Oil Painting Village – làng tranh sơn dầu, đặt vẽ / mua tranh giá xưởng (Metro L3 ga Dafen, exit A1)</t>
        </is>
      </c>
      <c r="G13" s="36" t="inlineStr"/>
      <c r="H13" s="5" t="inlineStr">
        <is>
          <t>Miễn phí</t>
        </is>
      </c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inlineStr"/>
      <c r="E14" s="14" t="inlineStr">
        <is>
          <t>14:00–16:00</t>
        </is>
      </c>
      <c r="F14" s="5" t="inlineStr">
        <is>
          <t>[trend] Shenzhen MixC World (Nam Sơn) – flagship Huawei, HAUS NOWHERE, cafe; hoặc OCT-LOFT nếu thích nghệ thuật</t>
        </is>
      </c>
      <c r="G14" s="36" t="inlineStr"/>
      <c r="H14" s="5" t="inlineStr">
        <is>
          <t>Miễn phí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inlineStr"/>
      <c r="E15" s="14" t="inlineStr">
        <is>
          <t>16:30–18:30</t>
        </is>
      </c>
      <c r="F15" s="5" t="inlineStr">
        <is>
          <t>[trend] Shenzhen Talent Park / Shenzhen Bay Park – hoàng hôn, skyline Hong Kong</t>
        </is>
      </c>
      <c r="G15" s="36" t="inlineStr"/>
      <c r="H15" s="5" t="inlineStr">
        <is>
          <t>Miễn phí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inlineStr"/>
      <c r="E16" s="14" t="inlineStr">
        <is>
          <t>19:00</t>
        </is>
      </c>
      <c r="F16" s="5" t="inlineStr">
        <is>
          <t>Ăn tối Sea World (Shekou). Soạn hành lý bay sớm</t>
        </is>
      </c>
      <c r="G16" s="36" t="inlineStr"/>
      <c r="H16" s="5" t="inlineStr"/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05:45</t>
        </is>
      </c>
      <c r="F17" s="5" t="inlineStr">
        <is>
          <t>Rời khách sạn ra SZX (30–40 phút)</t>
        </is>
      </c>
      <c r="G17" s="36" t="inlineStr"/>
      <c r="H17" s="5" t="inlineStr"/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inlineStr"/>
      <c r="E18" s="14" t="inlineStr">
        <is>
          <t>08:00 → 09:55</t>
        </is>
      </c>
      <c r="F18" s="5" t="inlineStr">
        <is>
          <t>Bay SZX → HGH (CZ8711 hoặc chuyến tương đương)</t>
        </is>
      </c>
      <c r="G18" s="36" t="inlineStr"/>
      <c r="H18" s="5" t="inlineStr">
        <is>
          <t>ThamSo dòng 29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inlineStr"/>
      <c r="E19" s="14" t="inlineStr">
        <is>
          <t>10:30–11:30</t>
        </is>
      </c>
      <c r="F19" s="5" t="inlineStr">
        <is>
          <t>HGH → khách sạn khu Hubin (Metro L1/L7 ~1h hoặc taxi ~50 phút). Gửi hành lý</t>
        </is>
      </c>
      <c r="G19" s="36" t="inlineStr"/>
      <c r="H19" s="5" t="inlineStr"/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inlineStr"/>
      <c r="E20" s="14" t="inlineStr">
        <is>
          <t>12:00</t>
        </is>
      </c>
      <c r="F20" s="5" t="inlineStr">
        <is>
          <t>Ăn trưa gần Hubin: cá giấm Tây Hồ, thịt Đông Pha</t>
        </is>
      </c>
      <c r="G20" s="36" t="inlineStr"/>
      <c r="H20" s="5" t="inlineStr"/>
    </row>
    <row r="21">
      <c r="A21" s="14" t="inlineStr">
        <is>
          <t>Ngày 4</t>
        </is>
      </c>
      <c r="B21" s="37">
        <f>ThamSo!$B$3+3</f>
        <v>46323</v>
      </c>
      <c r="C21" s="14" t="str">
        <f>CHOOSE(WEEKDAY(B21),"CN","T2","T3","T4","T5","T6","T7")</f>
        <v>T4</v>
      </c>
      <c r="D21" s="14" t="inlineStr"/>
      <c r="E21" s="14" t="inlineStr">
        <is>
          <t>13:30–17:30</t>
        </is>
      </c>
      <c r="F21" s="5" t="inlineStr">
        <is>
          <t>Tây Hồ: thuyền ra đảo Tiểu Doanh (chuyến cuối 16:00) → đê Tô → tháp Lôi Phong ngắm hoàng hôn</t>
        </is>
      </c>
      <c r="G21" s="38">
        <f>ThamSo!$B$34*ThamSo!$C$34</f>
        <v>55</v>
      </c>
      <c r="H21" s="5" t="inlineStr">
        <is>
          <t>Lôi Phong tính dòng dưới</t>
        </is>
      </c>
    </row>
    <row r="22">
      <c r="A22" s="14" t="inlineStr">
        <is>
          <t>Ngày 4</t>
        </is>
      </c>
      <c r="B22" s="37">
        <f>ThamSo!$B$3+3</f>
        <v>46323</v>
      </c>
      <c r="C22" s="14" t="str">
        <f>CHOOSE(WEEKDAY(B22),"CN","T2","T3","T4","T5","T6","T7")</f>
        <v>T4</v>
      </c>
      <c r="D22" s="14" t="inlineStr"/>
      <c r="E22" s="14" t="inlineStr"/>
      <c r="F22" s="5" t="inlineStr">
        <is>
          <t>Tháp Lôi Phong</t>
        </is>
      </c>
      <c r="G22" s="38">
        <f>ThamSo!$B$35*ThamSo!$C$35</f>
        <v>40</v>
      </c>
      <c r="H22" s="5" t="inlineStr">
        <is>
          <t>Mùa 11–3 mở tới 17:30</t>
        </is>
      </c>
    </row>
    <row r="23">
      <c r="A23" s="14" t="inlineStr">
        <is>
          <t>Ngày 4</t>
        </is>
      </c>
      <c r="B23" s="37">
        <f>ThamSo!$B$3+3</f>
        <v>46323</v>
      </c>
      <c r="C23" s="14" t="str">
        <f>CHOOSE(WEEKDAY(B23),"CN","T2","T3","T4","T5","T6","T7")</f>
        <v>T4</v>
      </c>
      <c r="D23" s="14" t="inlineStr"/>
      <c r="E23" s="14" t="inlineStr">
        <is>
          <t>19:40–20:35</t>
        </is>
      </c>
      <c r="F23" s="5" t="inlineStr">
        <is>
          <t>[trend] Impression West Lake – show Trương Nghệ Mưu trên mặt hồ (82 Beishan Rd). Đặt trước 1–2 tuần</t>
        </is>
      </c>
      <c r="G23" s="38">
        <f>ThamSo!$B$36*ThamSo!$C$36</f>
        <v>360</v>
      </c>
      <c r="H23" s="5" t="inlineStr">
        <is>
          <t>360 / 430 VIP / 960</t>
        </is>
      </c>
    </row>
    <row r="24">
      <c r="A24" s="3" t="inlineStr">
        <is>
          <t>Ngày 5</t>
        </is>
      </c>
      <c r="B24" s="37">
        <f>ThamSo!$B$3+4</f>
        <v>46324</v>
      </c>
      <c r="C24" s="14" t="str">
        <f>CHOOSE(WEEKDAY(B24),"CN","T2","T3","T4","T5","T6","T7")</f>
        <v>T5</v>
      </c>
      <c r="D24" s="3" t="inlineStr">
        <is>
          <t>Hàng Châu</t>
        </is>
      </c>
      <c r="E24" s="14" t="inlineStr">
        <is>
          <t>08:00–10:30</t>
        </is>
      </c>
      <c r="F24" s="5" t="inlineStr">
        <is>
          <t>Chùa Linh Ẩn + Phi Lai Phong, đi sớm tránh đông</t>
        </is>
      </c>
      <c r="G24" s="38">
        <f>ThamSo!$B$37*ThamSo!$C$37</f>
        <v>75</v>
      </c>
      <c r="H24" s="5" t="inlineStr">
        <is>
          <t>45 + 30</t>
        </is>
      </c>
    </row>
    <row r="25">
      <c r="A25" s="14" t="inlineStr">
        <is>
          <t>Ngày 5</t>
        </is>
      </c>
      <c r="B25" s="37">
        <f>ThamSo!$B$3+4</f>
        <v>46324</v>
      </c>
      <c r="C25" s="14" t="str">
        <f>CHOOSE(WEEKDAY(B25),"CN","T2","T3","T4","T5","T6","T7")</f>
        <v>T5</v>
      </c>
      <c r="D25" s="14" t="inlineStr"/>
      <c r="E25" s="14" t="inlineStr">
        <is>
          <t>11:00–14:00</t>
        </is>
      </c>
      <c r="F25" s="5" t="inlineStr">
        <is>
          <t>[trend] Làng trà Long Tỉnh + Mãn Giác Lũng – cafe giữa đồi trà, mùa hoa quế. Ăn trưa nhà dân trồng trà</t>
        </is>
      </c>
      <c r="G25" s="36" t="inlineStr"/>
      <c r="H25" s="5" t="inlineStr">
        <is>
          <t>Ăn ~80–120 CNY</t>
        </is>
      </c>
    </row>
    <row r="26">
      <c r="A26" s="14" t="inlineStr">
        <is>
          <t>Ngày 5</t>
        </is>
      </c>
      <c r="B26" s="37">
        <f>ThamSo!$B$3+4</f>
        <v>46324</v>
      </c>
      <c r="C26" s="14" t="str">
        <f>CHOOSE(WEEKDAY(B26),"CN","T2","T3","T4","T5","T6","T7")</f>
        <v>T5</v>
      </c>
      <c r="D26" s="14" t="inlineStr"/>
      <c r="E26" s="14" t="inlineStr">
        <is>
          <t>14:30–16:00</t>
        </is>
      </c>
      <c r="F26" s="5" t="inlineStr">
        <is>
          <t>Bảo tàng Trà quốc gia (nghỉ Thứ Hai)</t>
        </is>
      </c>
      <c r="G26" s="36" t="inlineStr"/>
      <c r="H26" s="5" t="inlineStr">
        <is>
          <t>Miễn phí</t>
        </is>
      </c>
    </row>
    <row r="27">
      <c r="A27" s="14" t="inlineStr">
        <is>
          <t>Ngày 5</t>
        </is>
      </c>
      <c r="B27" s="37">
        <f>ThamSo!$B$3+4</f>
        <v>46324</v>
      </c>
      <c r="C27" s="14" t="str">
        <f>CHOOSE(WEEKDAY(B27),"CN","T2","T3","T4","T5","T6","T7")</f>
        <v>T5</v>
      </c>
      <c r="D27" s="14" t="inlineStr"/>
      <c r="E27" s="14" t="inlineStr">
        <is>
          <t>16:30–18:00</t>
        </is>
      </c>
      <c r="F27" s="5" t="inlineStr">
        <is>
          <t>Cửu Khê (Jiuxi) đi bộ suối giữa rừng trà</t>
        </is>
      </c>
      <c r="G27" s="36" t="inlineStr"/>
      <c r="H27" s="5" t="inlineStr">
        <is>
          <t>Miễn phí</t>
        </is>
      </c>
    </row>
    <row r="28">
      <c r="A28" s="14" t="inlineStr">
        <is>
          <t>Ngày 5</t>
        </is>
      </c>
      <c r="B28" s="37">
        <f>ThamSo!$B$3+4</f>
        <v>46324</v>
      </c>
      <c r="C28" s="14" t="str">
        <f>CHOOSE(WEEKDAY(B28),"CN","T2","T3","T4","T5","T6","T7")</f>
        <v>T5</v>
      </c>
      <c r="D28" s="14" t="inlineStr"/>
      <c r="E28" s="14" t="inlineStr">
        <is>
          <t>18:30–21:00</t>
        </is>
      </c>
      <c r="F28" s="5" t="inlineStr">
        <is>
          <t>[trend] Chợ đêm Wulin (17:00–23:00) + đường Wulin; hoặc phố cổ Hà Phường</t>
        </is>
      </c>
      <c r="G28" s="36" t="inlineStr"/>
      <c r="H28" s="5" t="inlineStr"/>
    </row>
    <row r="29">
      <c r="A29" s="3" t="inlineStr">
        <is>
          <t>Ngày 6</t>
        </is>
      </c>
      <c r="B29" s="37">
        <f>ThamSo!$B$3+5</f>
        <v>46325</v>
      </c>
      <c r="C29" s="14" t="str">
        <f>CHOOSE(WEEKDAY(B29),"CN","T2","T3","T4","T5","T6","T7")</f>
        <v>T6</v>
      </c>
      <c r="D29" s="3" t="inlineStr">
        <is>
          <t>Hàng Châu → Bắc Kinh</t>
        </is>
      </c>
      <c r="E29" s="14" t="inlineStr">
        <is>
          <t>09:00–11:00</t>
        </is>
      </c>
      <c r="F29" s="5" t="inlineStr">
        <is>
          <t>[trend] Xiaohe Street + cầu Gongchen (Đại Vận Hà) – phố cổ ven kênh, cafe, shop thủ công</t>
        </is>
      </c>
      <c r="G29" s="36" t="inlineStr"/>
      <c r="H29" s="5" t="inlineStr">
        <is>
          <t>Miễn phí; trả phòng / gửi hành lý trước</t>
        </is>
      </c>
    </row>
    <row r="30">
      <c r="A30" s="14" t="inlineStr">
        <is>
          <t>Ngày 6</t>
        </is>
      </c>
      <c r="B30" s="37">
        <f>ThamSo!$B$3+5</f>
        <v>46325</v>
      </c>
      <c r="C30" s="14" t="str">
        <f>CHOOSE(WEEKDAY(B30),"CN","T2","T3","T4","T5","T6","T7")</f>
        <v>T6</v>
      </c>
      <c r="D30" s="14" t="inlineStr"/>
      <c r="E30" s="14" t="inlineStr">
        <is>
          <t>11:30</t>
        </is>
      </c>
      <c r="F30" s="5" t="inlineStr">
        <is>
          <t>Ra ga Hangzhou East (Metro L1/L4 ~30 phút)</t>
        </is>
      </c>
      <c r="G30" s="36" t="inlineStr"/>
      <c r="H30" s="5" t="inlineStr"/>
    </row>
    <row r="31">
      <c r="A31" s="14" t="inlineStr">
        <is>
          <t>Ngày 6</t>
        </is>
      </c>
      <c r="B31" s="37">
        <f>ThamSo!$B$3+5</f>
        <v>46325</v>
      </c>
      <c r="C31" s="14" t="str">
        <f>CHOOSE(WEEKDAY(B31),"CN","T2","T3","T4","T5","T6","T7")</f>
        <v>T6</v>
      </c>
      <c r="D31" s="14" t="inlineStr"/>
      <c r="E31" s="14" t="inlineStr">
        <is>
          <t>12:00–13:30</t>
        </is>
      </c>
      <c r="F31" s="5" t="inlineStr">
        <is>
          <t>Tàu G Hangzhou East → Beijing South hạng 2, chọn chuyến ~4,5h</t>
        </is>
      </c>
      <c r="G31" s="36" t="inlineStr"/>
      <c r="H31" s="5" t="inlineStr">
        <is>
          <t>ThamSo dòng 30; mở bán 15 ngày trước</t>
        </is>
      </c>
    </row>
    <row r="32">
      <c r="A32" s="14" t="inlineStr">
        <is>
          <t>Ngày 6</t>
        </is>
      </c>
      <c r="B32" s="37">
        <f>ThamSo!$B$3+5</f>
        <v>46325</v>
      </c>
      <c r="C32" s="14" t="str">
        <f>CHOOSE(WEEKDAY(B32),"CN","T2","T3","T4","T5","T6","T7")</f>
        <v>T6</v>
      </c>
      <c r="D32" s="14" t="inlineStr"/>
      <c r="E32" s="14" t="inlineStr">
        <is>
          <t>~17:30–18:30</t>
        </is>
      </c>
      <c r="F32" s="5" t="inlineStr">
        <is>
          <t>Đến Beijing South → khách sạn Vương Phủ Tỉnh / Đông Đan (2 xe Didi ~40 CNY/xe)</t>
        </is>
      </c>
      <c r="G32" s="36" t="inlineStr"/>
      <c r="H32" s="5" t="inlineStr"/>
    </row>
    <row r="33">
      <c r="A33" s="14" t="inlineStr">
        <is>
          <t>Ngày 6</t>
        </is>
      </c>
      <c r="B33" s="37">
        <f>ThamSo!$B$3+5</f>
        <v>46325</v>
      </c>
      <c r="C33" s="14" t="str">
        <f>CHOOSE(WEEKDAY(B33),"CN","T2","T3","T4","T5","T6","T7")</f>
        <v>T6</v>
      </c>
      <c r="D33" s="14" t="inlineStr"/>
      <c r="E33" s="14" t="inlineStr">
        <is>
          <t>19:30</t>
        </is>
      </c>
      <c r="F33" s="5" t="inlineStr">
        <is>
          <t>Vịt quay Siji Minfu 四季民福 gần Tử Cấm Thành (150–200 CNY/người), đặt bàn hoặc tới sớm</t>
        </is>
      </c>
      <c r="G33" s="36" t="inlineStr"/>
      <c r="H33" s="5" t="inlineStr">
        <is>
          <t>Tính trong ăn uống</t>
        </is>
      </c>
    </row>
    <row r="34">
      <c r="A34" s="3" t="inlineStr">
        <is>
          <t>Ngày 7</t>
        </is>
      </c>
      <c r="B34" s="37">
        <f>ThamSo!$B$3+6</f>
        <v>46326</v>
      </c>
      <c r="C34" s="14" t="str">
        <f>CHOOSE(WEEKDAY(B34),"CN","T2","T3","T4","T5","T6","T7")</f>
        <v>T7</v>
      </c>
      <c r="D34" s="3" t="inlineStr">
        <is>
          <t>Bắc Kinh</t>
        </is>
      </c>
      <c r="E34" s="14" t="inlineStr">
        <is>
          <t>07:00</t>
        </is>
      </c>
      <c r="F34" s="5" t="inlineStr">
        <is>
          <t>Xe riêng 14 chỗ đi Mutianyu (~1h30), đi sớm vì Thứ Bảy đông</t>
        </is>
      </c>
      <c r="G34" s="36" t="inlineStr"/>
      <c r="H34" s="5" t="inlineStr">
        <is>
          <t>ThamSo dòng xe</t>
        </is>
      </c>
    </row>
    <row r="35">
      <c r="A35" s="14" t="inlineStr">
        <is>
          <t>Ngày 7</t>
        </is>
      </c>
      <c r="B35" s="37">
        <f>ThamSo!$B$3+6</f>
        <v>46326</v>
      </c>
      <c r="C35" s="14" t="str">
        <f>CHOOSE(WEEKDAY(B35),"CN","T2","T3","T4","T5","T6","T7")</f>
        <v>T7</v>
      </c>
      <c r="D35" s="14" t="inlineStr"/>
      <c r="E35" s="14" t="inlineStr">
        <is>
          <t>08:45–12:30</t>
        </is>
      </c>
      <c r="F35" s="5" t="inlineStr">
        <is>
          <t>Vạn Lý Trường Thành Mộ Điền Dục: cáp treo lên tháp 14, đi bộ tới tháp 20, máng trượt xuống (tuỳ thời tiết, không cho 60+)</t>
        </is>
      </c>
      <c r="G35" s="38">
        <f>ThamSo!$B$38*ThamSo!$C$38</f>
        <v>45</v>
      </c>
      <c r="H35" s="5" t="inlineStr">
        <is>
          <t>+ shuttle 15 + cáp/máng 140</t>
        </is>
      </c>
    </row>
    <row r="36">
      <c r="A36" s="14" t="inlineStr">
        <is>
          <t>Ngày 7</t>
        </is>
      </c>
      <c r="B36" s="37">
        <f>ThamSo!$B$3+6</f>
        <v>46326</v>
      </c>
      <c r="C36" s="14" t="str">
        <f>CHOOSE(WEEKDAY(B36),"CN","T2","T3","T4","T5","T6","T7")</f>
        <v>T7</v>
      </c>
      <c r="D36" s="14" t="inlineStr"/>
      <c r="E36" s="14" t="inlineStr"/>
      <c r="F36" s="5" t="inlineStr">
        <is>
          <t>Shuttle bus bãi xe ↔ cổng</t>
        </is>
      </c>
      <c r="G36" s="38">
        <f>ThamSo!$B$39*ThamSo!$C$39</f>
        <v>15</v>
      </c>
      <c r="H36" s="5" t="inlineStr"/>
    </row>
    <row r="37">
      <c r="A37" s="14" t="inlineStr">
        <is>
          <t>Ngày 7</t>
        </is>
      </c>
      <c r="B37" s="37">
        <f>ThamSo!$B$3+6</f>
        <v>46326</v>
      </c>
      <c r="C37" s="14" t="str">
        <f>CHOOSE(WEEKDAY(B37),"CN","T2","T3","T4","T5","T6","T7")</f>
        <v>T7</v>
      </c>
      <c r="D37" s="14" t="inlineStr"/>
      <c r="E37" s="14" t="inlineStr"/>
      <c r="F37" s="5" t="inlineStr">
        <is>
          <t>Cáp treo / ghế treo + máng trượt khứ hồi</t>
        </is>
      </c>
      <c r="G37" s="38">
        <f>ThamSo!$B$40*ThamSo!$C$40</f>
        <v>140</v>
      </c>
      <c r="H37" s="5" t="inlineStr">
        <is>
          <t>Một chiều 100</t>
        </is>
      </c>
    </row>
    <row r="38">
      <c r="A38" s="14" t="inlineStr">
        <is>
          <t>Ngày 7</t>
        </is>
      </c>
      <c r="B38" s="37">
        <f>ThamSo!$B$3+6</f>
        <v>46326</v>
      </c>
      <c r="C38" s="14" t="str">
        <f>CHOOSE(WEEKDAY(B38),"CN","T2","T3","T4","T5","T6","T7")</f>
        <v>T7</v>
      </c>
      <c r="D38" s="14" t="inlineStr"/>
      <c r="E38" s="14" t="inlineStr">
        <is>
          <t>12:30</t>
        </is>
      </c>
      <c r="F38" s="5" t="inlineStr">
        <is>
          <t>Ăn trưa chân núi</t>
        </is>
      </c>
      <c r="G38" s="36" t="inlineStr"/>
      <c r="H38" s="5" t="inlineStr"/>
    </row>
    <row r="39">
      <c r="A39" s="14" t="inlineStr">
        <is>
          <t>Ngày 7</t>
        </is>
      </c>
      <c r="B39" s="37">
        <f>ThamSo!$B$3+6</f>
        <v>46326</v>
      </c>
      <c r="C39" s="14" t="str">
        <f>CHOOSE(WEEKDAY(B39),"CN","T2","T3","T4","T5","T6","T7")</f>
        <v>T7</v>
      </c>
      <c r="D39" s="14" t="inlineStr"/>
      <c r="E39" s="14" t="inlineStr">
        <is>
          <t>15:30–17:30</t>
        </is>
      </c>
      <c r="F39" s="5" t="inlineStr">
        <is>
          <t>[trend] 798 Art Zone – trên đường về từ Mutianyu, gallery mở Thứ Bảy, street art</t>
        </is>
      </c>
      <c r="G39" s="36" t="inlineStr"/>
      <c r="H39" s="5" t="inlineStr">
        <is>
          <t>Miễn phí</t>
        </is>
      </c>
    </row>
    <row r="40">
      <c r="A40" s="14" t="inlineStr">
        <is>
          <t>Ngày 7</t>
        </is>
      </c>
      <c r="B40" s="37">
        <f>ThamSo!$B$3+6</f>
        <v>46326</v>
      </c>
      <c r="C40" s="14" t="str">
        <f>CHOOSE(WEEKDAY(B40),"CN","T2","T3","T4","T5","T6","T7")</f>
        <v>T7</v>
      </c>
      <c r="D40" s="14" t="inlineStr"/>
      <c r="E40" s="14" t="inlineStr">
        <is>
          <t>18:00–19:00</t>
        </is>
      </c>
      <c r="F40" s="5" t="inlineStr">
        <is>
          <t>Tuỳ chọn: Công viên Olympic – Tổ Chim, Water Cube lên đèn (ngắm ngoài)</t>
        </is>
      </c>
      <c r="G40" s="36" t="inlineStr"/>
      <c r="H40" s="5" t="inlineStr">
        <is>
          <t>Miễn phí</t>
        </is>
      </c>
    </row>
    <row r="41">
      <c r="A41" s="14" t="inlineStr">
        <is>
          <t>Ngày 7</t>
        </is>
      </c>
      <c r="B41" s="37">
        <f>ThamSo!$B$3+6</f>
        <v>46326</v>
      </c>
      <c r="C41" s="14" t="str">
        <f>CHOOSE(WEEKDAY(B41),"CN","T2","T3","T4","T5","T6","T7")</f>
        <v>T7</v>
      </c>
      <c r="D41" s="14" t="inlineStr"/>
      <c r="E41" s="14" t="inlineStr">
        <is>
          <t>19:30</t>
        </is>
      </c>
      <c r="F41" s="5" t="inlineStr">
        <is>
          <t>Ăn tối phố Guijie 簋街 (tôm hùm đất, lẩu) hoặc Sanlitun</t>
        </is>
      </c>
      <c r="G41" s="36" t="inlineStr"/>
      <c r="H41" s="5" t="inlineStr"/>
    </row>
    <row r="42">
      <c r="A42" s="3" t="inlineStr">
        <is>
          <t>Ngày 8</t>
        </is>
      </c>
      <c r="B42" s="37">
        <f>ThamSo!$B$3+7</f>
        <v>46327</v>
      </c>
      <c r="C42" s="14" t="str">
        <f>CHOOSE(WEEKDAY(B42),"CN","T2","T3","T4","T5","T6","T7")</f>
        <v>CN</v>
      </c>
      <c r="D42" s="3" t="inlineStr">
        <is>
          <t>Bắc Kinh</t>
        </is>
      </c>
      <c r="E42" s="14" t="inlineStr">
        <is>
          <t>07:30–09:30</t>
        </is>
      </c>
      <c r="F42" s="5" t="inlineStr">
        <is>
          <t>Thiên Đàn – sáng sớm dân địa phương tập thái cực</t>
        </is>
      </c>
      <c r="G42" s="38">
        <f>ThamSo!$B$41*ThamSo!$C$41</f>
        <v>28</v>
      </c>
      <c r="H42" s="5" t="inlineStr"/>
    </row>
    <row r="43">
      <c r="A43" s="14" t="inlineStr">
        <is>
          <t>Ngày 8</t>
        </is>
      </c>
      <c r="B43" s="37">
        <f>ThamSo!$B$3+7</f>
        <v>46327</v>
      </c>
      <c r="C43" s="14" t="str">
        <f>CHOOSE(WEEKDAY(B43),"CN","T2","T3","T4","T5","T6","T7")</f>
        <v>CN</v>
      </c>
      <c r="D43" s="14" t="inlineStr"/>
      <c r="E43" s="14" t="inlineStr">
        <is>
          <t>10:00–11:00</t>
        </is>
      </c>
      <c r="F43" s="5" t="inlineStr">
        <is>
          <t>[trend] Đại lộ ngân hạnh Diaoyutai (đường Sanlihe) – vàng rực cuối 10 đầu 11, đi sớm vì Chủ Nhật; hoặc Ditan Park</t>
        </is>
      </c>
      <c r="G43" s="38">
        <f>ThamSo!$B$42*ThamSo!$C$42</f>
        <v>10</v>
      </c>
      <c r="H43" s="5" t="inlineStr">
        <is>
          <t>Diaoyutai miễn phí; Ditan 10</t>
        </is>
      </c>
    </row>
    <row r="44">
      <c r="A44" s="14" t="inlineStr">
        <is>
          <t>Ngày 8</t>
        </is>
      </c>
      <c r="B44" s="37">
        <f>ThamSo!$B$3+7</f>
        <v>46327</v>
      </c>
      <c r="C44" s="14" t="str">
        <f>CHOOSE(WEEKDAY(B44),"CN","T2","T3","T4","T5","T6","T7")</f>
        <v>CN</v>
      </c>
      <c r="D44" s="14" t="inlineStr"/>
      <c r="E44" s="14" t="inlineStr">
        <is>
          <t>11:30–15:00</t>
        </is>
      </c>
      <c r="F44" s="5" t="inlineStr">
        <is>
          <t>Di Hòa Viên: Trường Lang, thuyền hồ Côn Minh, Phật Hương Các. Ăn trưa gần cổng Đông</t>
        </is>
      </c>
      <c r="G44" s="38">
        <f>ThamSo!$B$43*ThamSo!$C$43</f>
        <v>50</v>
      </c>
      <c r="H44" s="5" t="inlineStr"/>
    </row>
    <row r="45">
      <c r="A45" s="14" t="inlineStr">
        <is>
          <t>Ngày 8</t>
        </is>
      </c>
      <c r="B45" s="37">
        <f>ThamSo!$B$3+7</f>
        <v>46327</v>
      </c>
      <c r="C45" s="14" t="str">
        <f>CHOOSE(WEEKDAY(B45),"CN","T2","T3","T4","T5","T6","T7")</f>
        <v>CN</v>
      </c>
      <c r="D45" s="14" t="inlineStr"/>
      <c r="E45" s="14" t="inlineStr">
        <is>
          <t>15:30–17:00</t>
        </is>
      </c>
      <c r="F45" s="5" t="inlineStr">
        <is>
          <t>Tuỳ chọn: Hương Sơn mùa lá đỏ (cuối tuần 1–2/11 rất đông; chỉ đi nếu bản tin lá đỏ còn đẹp)</t>
        </is>
      </c>
      <c r="G45" s="38">
        <f>ThamSo!$B$44*ThamSo!$C$44</f>
        <v>0</v>
      </c>
      <c r="H45" s="5" t="inlineStr">
        <is>
          <t>Bật cột 'Tính' ở ThamSo nếu đi</t>
        </is>
      </c>
    </row>
    <row r="46">
      <c r="A46" s="14" t="inlineStr">
        <is>
          <t>Ngày 8</t>
        </is>
      </c>
      <c r="B46" s="37">
        <f>ThamSo!$B$3+7</f>
        <v>46327</v>
      </c>
      <c r="C46" s="14" t="str">
        <f>CHOOSE(WEEKDAY(B46),"CN","T2","T3","T4","T5","T6","T7")</f>
        <v>CN</v>
      </c>
      <c r="D46" s="14" t="inlineStr"/>
      <c r="E46" s="14" t="inlineStr">
        <is>
          <t>18:30</t>
        </is>
      </c>
      <c r="F46" s="5" t="inlineStr">
        <is>
          <t>[trend] Hậu Hải / Thập Sát Hải, Yandai Xiejie, Gulou Dongdajie – ăn tối ven hồ, cafe, bar</t>
        </is>
      </c>
      <c r="G46" s="36" t="inlineStr"/>
      <c r="H46" s="5" t="inlineStr">
        <is>
          <t>Đi Didi 2 xe + metro</t>
        </is>
      </c>
    </row>
    <row r="47">
      <c r="A47" s="3" t="inlineStr">
        <is>
          <t>Ngày 9</t>
        </is>
      </c>
      <c r="B47" s="37">
        <f>ThamSo!$B$3+8</f>
        <v>46328</v>
      </c>
      <c r="C47" s="14" t="str">
        <f>CHOOSE(WEEKDAY(B47),"CN","T2","T3","T4","T5","T6","T7")</f>
        <v>T2</v>
      </c>
      <c r="D47" s="3" t="inlineStr">
        <is>
          <t>Bắc Kinh</t>
        </is>
      </c>
      <c r="E47" s="14" t="inlineStr">
        <is>
          <t>09:00–10:30</t>
        </is>
      </c>
      <c r="F47" s="5" t="inlineStr">
        <is>
          <t>Ung Hòa Cung (Lama Temple) – đặt slot giờ trước bằng hộ chiếu (mở Thứ Hai)</t>
        </is>
      </c>
      <c r="G47" s="38">
        <f>ThamSo!$B$49*ThamSo!$C$49</f>
        <v>25</v>
      </c>
      <c r="H47" s="5" t="inlineStr"/>
    </row>
    <row r="48">
      <c r="A48" s="14" t="inlineStr">
        <is>
          <t>Ngày 9</t>
        </is>
      </c>
      <c r="B48" s="37">
        <f>ThamSo!$B$3+8</f>
        <v>46328</v>
      </c>
      <c r="C48" s="14" t="str">
        <f>CHOOSE(WEEKDAY(B48),"CN","T2","T3","T4","T5","T6","T7")</f>
        <v>T2</v>
      </c>
      <c r="D48" s="14" t="inlineStr"/>
      <c r="E48" s="14" t="inlineStr">
        <is>
          <t>10:30–12:30</t>
        </is>
      </c>
      <c r="F48" s="5" t="inlineStr">
        <is>
          <t>[trend] Wudaoying hutong – cafe, boutique trong tứ hợp viện (Metal Hands, Fú Dǐng rooftop), Quốc Tử Giám</t>
        </is>
      </c>
      <c r="G48" s="36" t="inlineStr"/>
      <c r="H48" s="5" t="inlineStr">
        <is>
          <t>Miễn phí</t>
        </is>
      </c>
    </row>
    <row r="49">
      <c r="A49" s="14" t="inlineStr">
        <is>
          <t>Ngày 9</t>
        </is>
      </c>
      <c r="B49" s="37">
        <f>ThamSo!$B$3+8</f>
        <v>46328</v>
      </c>
      <c r="C49" s="14" t="str">
        <f>CHOOSE(WEEKDAY(B49),"CN","T2","T3","T4","T5","T6","T7")</f>
        <v>T2</v>
      </c>
      <c r="D49" s="14" t="inlineStr"/>
      <c r="E49" s="14" t="inlineStr">
        <is>
          <t>12:30</t>
        </is>
      </c>
      <c r="F49" s="5" t="inlineStr">
        <is>
          <t>Ăn trưa khu Wudaoying</t>
        </is>
      </c>
      <c r="G49" s="36" t="inlineStr"/>
      <c r="H49" s="5" t="inlineStr"/>
    </row>
    <row r="50">
      <c r="A50" s="14" t="inlineStr">
        <is>
          <t>Ngày 9</t>
        </is>
      </c>
      <c r="B50" s="37">
        <f>ThamSo!$B$3+8</f>
        <v>46328</v>
      </c>
      <c r="C50" s="14" t="str">
        <f>CHOOSE(WEEKDAY(B50),"CN","T2","T3","T4","T5","T6","T7")</f>
        <v>T2</v>
      </c>
      <c r="D50" s="14" t="inlineStr"/>
      <c r="E50" s="14" t="inlineStr">
        <is>
          <t>14:00–17:00</t>
        </is>
      </c>
      <c r="F50" s="5" t="inlineStr">
        <is>
          <t>[trend] Qianmen + Beijing Fun 北京坊 + Dashilan – phố cổ cải tạo, Page One, Muji Hotel, cafe</t>
        </is>
      </c>
      <c r="G50" s="36" t="inlineStr"/>
      <c r="H50" s="5" t="inlineStr">
        <is>
          <t>Miễn phí; Tử Cấm Thành nghỉ Thứ Hai</t>
        </is>
      </c>
    </row>
    <row r="51">
      <c r="A51" s="14" t="inlineStr">
        <is>
          <t>Ngày 9</t>
        </is>
      </c>
      <c r="B51" s="37">
        <f>ThamSo!$B$3+8</f>
        <v>46328</v>
      </c>
      <c r="C51" s="14" t="str">
        <f>CHOOSE(WEEKDAY(B51),"CN","T2","T3","T4","T5","T6","T7")</f>
        <v>T2</v>
      </c>
      <c r="D51" s="14" t="inlineStr"/>
      <c r="E51" s="14" t="inlineStr">
        <is>
          <t>18:00</t>
        </is>
      </c>
      <c r="F51" s="5" t="inlineStr">
        <is>
          <t>Ăn tối Qianmen hoặc Vương Phủ Tỉnh</t>
        </is>
      </c>
      <c r="G51" s="36" t="inlineStr"/>
      <c r="H51" s="5" t="inlineStr"/>
    </row>
    <row r="52">
      <c r="A52" s="3" t="inlineStr">
        <is>
          <t>Ngày 10</t>
        </is>
      </c>
      <c r="B52" s="37">
        <f>ThamSo!$B$3+9</f>
        <v>46329</v>
      </c>
      <c r="C52" s="14" t="str">
        <f>CHOOSE(WEEKDAY(B52),"CN","T2","T3","T4","T5","T6","T7")</f>
        <v>T3</v>
      </c>
      <c r="D52" s="3" t="inlineStr">
        <is>
          <t>Bắc Kinh → bay đêm</t>
        </is>
      </c>
      <c r="E52" s="14" t="inlineStr">
        <is>
          <t>08:00</t>
        </is>
      </c>
      <c r="F52" s="5" t="inlineStr">
        <is>
          <t>Quảng trường Thiên An Môn slot sáng (WeChat 天安门广场预约参观, mở 1–9 ngày trước, hộ chiếu gốc)</t>
        </is>
      </c>
      <c r="G52" s="36" t="inlineStr"/>
      <c r="H52" s="5" t="inlineStr">
        <is>
          <t>Miễn phí</t>
        </is>
      </c>
    </row>
    <row r="53">
      <c r="A53" s="14" t="inlineStr">
        <is>
          <t>Ngày 10</t>
        </is>
      </c>
      <c r="B53" s="37">
        <f>ThamSo!$B$3+9</f>
        <v>46329</v>
      </c>
      <c r="C53" s="14" t="str">
        <f>CHOOSE(WEEKDAY(B53),"CN","T2","T3","T4","T5","T6","T7")</f>
        <v>T3</v>
      </c>
      <c r="D53" s="14" t="inlineStr"/>
      <c r="E53" s="14" t="inlineStr">
        <is>
          <t>09:00–12:30</t>
        </is>
      </c>
      <c r="F53" s="5" t="inlineStr">
        <is>
          <t>Tử Cấm Thành slot sáng (Thứ Ba, ít đông hơn cuối tuần). Mở bán 20:00 giờ Bắc Kinh 7 ngày trước, 1 vé/hộ chiếu. Ra cổng Bắc</t>
        </is>
      </c>
      <c r="G53" s="38">
        <f>ThamSo!$B$46*ThamSo!$C$46</f>
        <v>40</v>
      </c>
      <c r="H53" s="5" t="inlineStr">
        <is>
          <t>Trả phòng trước 12:00, gửi hành lý ở khách sạn</t>
        </is>
      </c>
    </row>
    <row r="54">
      <c r="A54" s="14" t="inlineStr">
        <is>
          <t>Ngày 10</t>
        </is>
      </c>
      <c r="B54" s="37">
        <f>ThamSo!$B$3+9</f>
        <v>46329</v>
      </c>
      <c r="C54" s="14" t="str">
        <f>CHOOSE(WEEKDAY(B54),"CN","T2","T3","T4","T5","T6","T7")</f>
        <v>T3</v>
      </c>
      <c r="D54" s="14" t="inlineStr"/>
      <c r="E54" s="14" t="inlineStr"/>
      <c r="F54" s="5" t="inlineStr">
        <is>
          <t>Trân Bảo Quán (trong Tử Cấm Thành)</t>
        </is>
      </c>
      <c r="G54" s="38">
        <f>ThamSo!$B$47*ThamSo!$C$47</f>
        <v>10</v>
      </c>
      <c r="H54" s="5" t="inlineStr"/>
    </row>
    <row r="55">
      <c r="A55" s="14" t="inlineStr">
        <is>
          <t>Ngày 10</t>
        </is>
      </c>
      <c r="B55" s="37">
        <f>ThamSo!$B$3+9</f>
        <v>46329</v>
      </c>
      <c r="C55" s="14" t="str">
        <f>CHOOSE(WEEKDAY(B55),"CN","T2","T3","T4","T5","T6","T7")</f>
        <v>T3</v>
      </c>
      <c r="D55" s="14" t="inlineStr"/>
      <c r="E55" s="14" t="inlineStr"/>
      <c r="F55" s="5" t="inlineStr">
        <is>
          <t>Chung Biểu Quán (trong Tử Cấm Thành)</t>
        </is>
      </c>
      <c r="G55" s="38">
        <f>ThamSo!$B$48*ThamSo!$C$48</f>
        <v>10</v>
      </c>
      <c r="H55" s="5" t="inlineStr"/>
    </row>
    <row r="56">
      <c r="A56" s="14" t="inlineStr">
        <is>
          <t>Ngày 10</t>
        </is>
      </c>
      <c r="B56" s="37">
        <f>ThamSo!$B$3+9</f>
        <v>46329</v>
      </c>
      <c r="C56" s="14" t="str">
        <f>CHOOSE(WEEKDAY(B56),"CN","T2","T3","T4","T5","T6","T7")</f>
        <v>T3</v>
      </c>
      <c r="D56" s="14" t="inlineStr"/>
      <c r="E56" s="14" t="inlineStr">
        <is>
          <t>12:45</t>
        </is>
      </c>
      <c r="F56" s="5" t="inlineStr">
        <is>
          <t>Ăn trưa gần Cảnh Sơn</t>
        </is>
      </c>
      <c r="G56" s="36" t="inlineStr"/>
      <c r="H56" s="5" t="inlineStr"/>
    </row>
    <row r="57">
      <c r="A57" s="14" t="inlineStr">
        <is>
          <t>Ngày 10</t>
        </is>
      </c>
      <c r="B57" s="37">
        <f>ThamSo!$B$3+9</f>
        <v>46329</v>
      </c>
      <c r="C57" s="14" t="str">
        <f>CHOOSE(WEEKDAY(B57),"CN","T2","T3","T4","T5","T6","T7")</f>
        <v>T3</v>
      </c>
      <c r="D57" s="14" t="inlineStr"/>
      <c r="E57" s="14" t="inlineStr">
        <is>
          <t>14:00–15:30</t>
        </is>
      </c>
      <c r="F57" s="5" t="inlineStr">
        <is>
          <t>Công viên Cảnh Sơn – toàn cảnh Tử Cấm Thành</t>
        </is>
      </c>
      <c r="G57" s="38">
        <f>ThamSo!$B$45*ThamSo!$C$45</f>
        <v>2</v>
      </c>
      <c r="H57" s="5" t="inlineStr"/>
    </row>
    <row r="58">
      <c r="A58" s="14" t="inlineStr">
        <is>
          <t>Ngày 10</t>
        </is>
      </c>
      <c r="B58" s="37">
        <f>ThamSo!$B$3+9</f>
        <v>46329</v>
      </c>
      <c r="C58" s="14" t="str">
        <f>CHOOSE(WEEKDAY(B58),"CN","T2","T3","T4","T5","T6","T7")</f>
        <v>T3</v>
      </c>
      <c r="D58" s="14" t="inlineStr"/>
      <c r="E58" s="14" t="inlineStr">
        <is>
          <t>16:00–18:00</t>
        </is>
      </c>
      <c r="F58" s="5" t="inlineStr">
        <is>
          <t>Nam La Cổ Hạng + hutong lân cận: xích lô, cafe, ăn vặt</t>
        </is>
      </c>
      <c r="G58" s="36" t="inlineStr"/>
      <c r="H58" s="5" t="inlineStr">
        <is>
          <t>Miễn phí</t>
        </is>
      </c>
    </row>
    <row r="59">
      <c r="A59" s="14" t="inlineStr">
        <is>
          <t>Ngày 10</t>
        </is>
      </c>
      <c r="B59" s="37">
        <f>ThamSo!$B$3+9</f>
        <v>46329</v>
      </c>
      <c r="C59" s="14" t="str">
        <f>CHOOSE(WEEKDAY(B59),"CN","T2","T3","T4","T5","T6","T7")</f>
        <v>T3</v>
      </c>
      <c r="D59" s="14" t="inlineStr"/>
      <c r="E59" s="14" t="inlineStr">
        <is>
          <t>18:00</t>
        </is>
      </c>
      <c r="F59" s="5" t="inlineStr">
        <is>
          <t>Ăn tối gần khách sạn</t>
        </is>
      </c>
      <c r="G59" s="36" t="inlineStr"/>
      <c r="H59" s="5" t="inlineStr"/>
    </row>
    <row r="60">
      <c r="A60" s="14" t="inlineStr">
        <is>
          <t>Ngày 10</t>
        </is>
      </c>
      <c r="B60" s="37">
        <f>ThamSo!$B$3+9</f>
        <v>46329</v>
      </c>
      <c r="C60" s="14" t="str">
        <f>CHOOSE(WEEKDAY(B60),"CN","T2","T3","T4","T5","T6","T7")</f>
        <v>T3</v>
      </c>
      <c r="D60" s="14" t="inlineStr"/>
      <c r="E60" s="14" t="inlineStr">
        <is>
          <t>21:00 / 21:30</t>
        </is>
      </c>
      <c r="F60" s="5" t="inlineStr">
        <is>
          <t>Lấy hành lý, cả 3 nhóm ra Đại Hưng (PKX): Didi ~1h hoặc Metro tới Caoqiao + Daxing Airport Express 35 CNY</t>
        </is>
      </c>
      <c r="G60" s="36" t="inlineStr"/>
      <c r="H60" s="5" t="inlineStr"/>
    </row>
    <row r="61">
      <c r="A61" s="14" t="inlineStr">
        <is>
          <t>Ngày 10</t>
        </is>
      </c>
      <c r="B61" s="37">
        <f>ThamSo!$B$3+9</f>
        <v>46329</v>
      </c>
      <c r="C61" s="14" t="str">
        <f>CHOOSE(WEEKDAY(B61),"CN","T2","T3","T4","T5","T6","T7")</f>
        <v>T3</v>
      </c>
      <c r="D61" s="14" t="inlineStr"/>
      <c r="E61" s="14" t="inlineStr">
        <is>
          <t>01:05 / 01:20</t>
        </is>
      </c>
      <c r="F61" s="5" t="inlineStr">
        <is>
          <t>Hôm sau: VJ3949 về SGN (nhóm SGN + Quảng Châu), VJ7713 về HAN</t>
        </is>
      </c>
      <c r="G61" s="36" t="inlineStr"/>
      <c r="H61" s="5" t="inlineStr">
        <is>
          <t>ThamSo dòng vé về</t>
        </is>
      </c>
    </row>
    <row r="63">
      <c r="A63" s="3" t="inlineStr">
        <is>
          <t>Tổng vé (CNY) trong lịch</t>
        </is>
      </c>
      <c r="G63" s="39">
        <f>SUM(G4:G61)</f>
        <v>1085</v>
      </c>
      <c r="H63" s="5" t="inlineStr">
        <is>
          <t>Bằng ThamSo tổng vé (dòng tắt cột 'Tính' = 0 tính bằng 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46288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3094000</v>
      </c>
      <c r="D9" s="29">
        <f>B9*C9</f>
        <v>3094000</v>
      </c>
      <c r="E9" s="29">
        <f>D9*$B$2</f>
        <v>6188000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2054000</v>
      </c>
      <c r="D12" s="29">
        <f>B12*C12</f>
        <v>2054000</v>
      </c>
      <c r="E12" s="29">
        <f>D12*$B$2</f>
        <v>4108000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2</v>
      </c>
      <c r="C14" s="29">
        <f>ThamSo!$C$16*ThamSo!$B$4*$B$3/$B$2</f>
        <v>750500</v>
      </c>
      <c r="D14" s="29">
        <f>B14*C14</f>
        <v>1501000</v>
      </c>
      <c r="E14" s="29">
        <f>D14*$B$2</f>
        <v>3002000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72552640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3627632</v>
      </c>
      <c r="E24" s="29">
        <f>E23*ThamSo!$B$6</f>
        <v>7255264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39903952</v>
      </c>
      <c r="E25" s="20">
        <f>E23+E24</f>
        <v>79807904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3753000</v>
      </c>
      <c r="D9" s="29">
        <f>B9*C9</f>
        <v>3753000</v>
      </c>
      <c r="E9" s="29">
        <f>D9*$B$2</f>
        <v>15012000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2054000</v>
      </c>
      <c r="D12" s="29">
        <f>B12*C12</f>
        <v>2054000</v>
      </c>
      <c r="E12" s="29">
        <f>D12*$B$2</f>
        <v>8216000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8295000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2</v>
      </c>
      <c r="C14" s="29">
        <f>ThamSo!$C$16*ThamSo!$B$4*$B$3/$B$2</f>
        <v>750500</v>
      </c>
      <c r="D14" s="29">
        <f>B14*C14</f>
        <v>1501000</v>
      </c>
      <c r="E14" s="29">
        <f>D14*$B$2</f>
        <v>6004000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9480000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28440000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139668600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3491715</v>
      </c>
      <c r="E24" s="29">
        <f>E23*ThamSo!$B$6</f>
        <v>13966860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38408865</v>
      </c>
      <c r="E25" s="20">
        <f>E23+E24</f>
        <v>153635460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3753000</v>
      </c>
      <c r="D9" s="29">
        <f>B9*C9</f>
        <v>3753000</v>
      </c>
      <c r="E9" s="29">
        <f>D9*$B$2</f>
        <v>7506000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2054000</v>
      </c>
      <c r="D12" s="29">
        <f>B12*C12</f>
        <v>2054000</v>
      </c>
      <c r="E12" s="29">
        <f>D12*$B$2</f>
        <v>4108000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2</v>
      </c>
      <c r="C14" s="29">
        <f>ThamSo!$C$16*ThamSo!$B$4*$B$3/$B$2</f>
        <v>750500</v>
      </c>
      <c r="D14" s="29">
        <f>B14*C14</f>
        <v>1501000</v>
      </c>
      <c r="E14" s="29">
        <f>D14*$B$2</f>
        <v>3002000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66596190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3329809.5</v>
      </c>
      <c r="E24" s="29">
        <f>E23*ThamSo!$B$6</f>
        <v>6659619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36627904.5</v>
      </c>
      <c r="E25" s="20">
        <f>E23+E24</f>
        <v>73255809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2026-09-23T06:26:47Z</dcterms:modified>
</cp:coreProperties>
</file>